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05\Desktop\方正交运\集运\"/>
    </mc:Choice>
  </mc:AlternateContent>
  <xr:revisionPtr revIDLastSave="0" documentId="13_ncr:1_{43056847-08D0-4358-AA1A-18CDBD86924B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2" hidden="1">Sheet2!$H$1:$L$206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1" i="1" l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G180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C216" i="1"/>
  <c r="C217" i="1"/>
  <c r="C218" i="1"/>
  <c r="C219" i="1"/>
  <c r="C220" i="1"/>
  <c r="C221" i="1"/>
  <c r="C215" i="1"/>
  <c r="C214" i="1"/>
  <c r="C21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3" i="1"/>
  <c r="A207" i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J2" i="2"/>
  <c r="K2" i="2"/>
  <c r="L2" i="2"/>
  <c r="J3" i="2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K205" i="2"/>
  <c r="L205" i="2"/>
  <c r="J206" i="2"/>
  <c r="L206" i="2"/>
</calcChain>
</file>

<file path=xl/sharedStrings.xml><?xml version="1.0" encoding="utf-8"?>
<sst xmlns="http://schemas.openxmlformats.org/spreadsheetml/2006/main" count="15" uniqueCount="10">
  <si>
    <t>SCFIS:欧洲航线(基本港)</t>
  </si>
  <si>
    <t xml:space="preserve"> </t>
    <phoneticPr fontId="3" type="noConversion"/>
  </si>
  <si>
    <t>EC2408</t>
  </si>
  <si>
    <t>EC2406</t>
    <phoneticPr fontId="3" type="noConversion"/>
  </si>
  <si>
    <t>EC2404</t>
    <phoneticPr fontId="3" type="noConversion"/>
  </si>
  <si>
    <t>日期</t>
  </si>
  <si>
    <t>环比</t>
    <phoneticPr fontId="1" type="noConversion"/>
  </si>
  <si>
    <t>SCFIS:欧洲航线(基本港)</t>
    <phoneticPr fontId="1" type="noConversion"/>
  </si>
  <si>
    <t>SCFIS:美西航线（基本港）</t>
    <phoneticPr fontId="1" type="noConversion"/>
  </si>
  <si>
    <t>同比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</si>
</sst>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%"/>
    <numFmt numFmtId="178" formatCode="0.0"/>
  </numFmts>
  <fonts count="6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family val="2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14" fontId="0" fillId="0" borderId="0" xfId="0" applyNumberFormat="1" applyAlignment="1"/>
    <xf numFmtId="0" fontId="0" fillId="0" borderId="0" xfId="0" applyAlignment="1"/>
    <xf numFmtId="176" fontId="0" fillId="0" borderId="0" xfId="0" applyNumberFormat="1" applyAlignment="1"/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2" fillId="0" borderId="0" xfId="0" applyFont="1" applyAlignment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77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2" borderId="0" xfId="1" applyNumberFormat="1" applyFont="1" applyFill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177" fontId="0" fillId="2" borderId="0" xfId="0" applyNumberForma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0" fontId="0" fillId="0" borderId="0" xfId="1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56598153911128"/>
          <c:y val="1.795129775444736E-2"/>
          <c:w val="0.87297730324163414"/>
          <c:h val="0.62145541622340972"/>
        </c:manualLayout>
      </c:layout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SCFIS:欧洲航线(基本港)</c:v>
                </c:pt>
              </c:strCache>
            </c:strRef>
          </c:tx>
          <c:spPr>
            <a:solidFill>
              <a:srgbClr val="AA0911"/>
            </a:solidFill>
            <a:ln w="19050">
              <a:noFill/>
            </a:ln>
          </c:spPr>
          <c:cat>
            <c:numRef>
              <c:f>sheet1!$A$2:$A$2370</c:f>
              <c:numCache>
                <c:formatCode>m/d/yyyy</c:formatCode>
                <c:ptCount val="2369"/>
                <c:pt idx="0">
                  <c:v>44046</c:v>
                </c:pt>
                <c:pt idx="1">
                  <c:v>44053</c:v>
                </c:pt>
                <c:pt idx="2">
                  <c:v>44060</c:v>
                </c:pt>
                <c:pt idx="3">
                  <c:v>44067</c:v>
                </c:pt>
                <c:pt idx="4">
                  <c:v>44074</c:v>
                </c:pt>
                <c:pt idx="5">
                  <c:v>44081</c:v>
                </c:pt>
                <c:pt idx="6">
                  <c:v>44088</c:v>
                </c:pt>
                <c:pt idx="7">
                  <c:v>44095</c:v>
                </c:pt>
                <c:pt idx="8">
                  <c:v>44102</c:v>
                </c:pt>
                <c:pt idx="9">
                  <c:v>44109</c:v>
                </c:pt>
                <c:pt idx="10">
                  <c:v>44116</c:v>
                </c:pt>
                <c:pt idx="11">
                  <c:v>44123</c:v>
                </c:pt>
                <c:pt idx="12">
                  <c:v>44130</c:v>
                </c:pt>
                <c:pt idx="13">
                  <c:v>44137</c:v>
                </c:pt>
                <c:pt idx="14">
                  <c:v>44144</c:v>
                </c:pt>
                <c:pt idx="15">
                  <c:v>44151</c:v>
                </c:pt>
                <c:pt idx="16">
                  <c:v>44158</c:v>
                </c:pt>
                <c:pt idx="17">
                  <c:v>44165</c:v>
                </c:pt>
                <c:pt idx="18">
                  <c:v>44172</c:v>
                </c:pt>
                <c:pt idx="19">
                  <c:v>44179</c:v>
                </c:pt>
                <c:pt idx="20">
                  <c:v>44186</c:v>
                </c:pt>
                <c:pt idx="21">
                  <c:v>44193</c:v>
                </c:pt>
                <c:pt idx="22">
                  <c:v>44200</c:v>
                </c:pt>
                <c:pt idx="23">
                  <c:v>44207</c:v>
                </c:pt>
                <c:pt idx="24">
                  <c:v>44214</c:v>
                </c:pt>
                <c:pt idx="25">
                  <c:v>44221</c:v>
                </c:pt>
                <c:pt idx="26">
                  <c:v>44228</c:v>
                </c:pt>
                <c:pt idx="27">
                  <c:v>44235</c:v>
                </c:pt>
                <c:pt idx="28">
                  <c:v>44245</c:v>
                </c:pt>
                <c:pt idx="29">
                  <c:v>44249</c:v>
                </c:pt>
                <c:pt idx="30">
                  <c:v>44256</c:v>
                </c:pt>
                <c:pt idx="31">
                  <c:v>44263</c:v>
                </c:pt>
                <c:pt idx="32">
                  <c:v>44270</c:v>
                </c:pt>
                <c:pt idx="33">
                  <c:v>44277</c:v>
                </c:pt>
                <c:pt idx="34">
                  <c:v>44284</c:v>
                </c:pt>
                <c:pt idx="35">
                  <c:v>44291</c:v>
                </c:pt>
                <c:pt idx="36">
                  <c:v>44298</c:v>
                </c:pt>
                <c:pt idx="37">
                  <c:v>44305</c:v>
                </c:pt>
                <c:pt idx="38">
                  <c:v>44312</c:v>
                </c:pt>
                <c:pt idx="39">
                  <c:v>44319</c:v>
                </c:pt>
                <c:pt idx="40">
                  <c:v>44326</c:v>
                </c:pt>
                <c:pt idx="41">
                  <c:v>44333</c:v>
                </c:pt>
                <c:pt idx="42">
                  <c:v>44340</c:v>
                </c:pt>
                <c:pt idx="43">
                  <c:v>44347</c:v>
                </c:pt>
                <c:pt idx="44">
                  <c:v>44354</c:v>
                </c:pt>
                <c:pt idx="45">
                  <c:v>44361</c:v>
                </c:pt>
                <c:pt idx="46">
                  <c:v>44368</c:v>
                </c:pt>
                <c:pt idx="47">
                  <c:v>44375</c:v>
                </c:pt>
                <c:pt idx="48">
                  <c:v>44382</c:v>
                </c:pt>
                <c:pt idx="49">
                  <c:v>44389</c:v>
                </c:pt>
                <c:pt idx="50">
                  <c:v>44396</c:v>
                </c:pt>
                <c:pt idx="51">
                  <c:v>44403</c:v>
                </c:pt>
                <c:pt idx="52">
                  <c:v>44410</c:v>
                </c:pt>
                <c:pt idx="53">
                  <c:v>44417</c:v>
                </c:pt>
                <c:pt idx="54">
                  <c:v>44424</c:v>
                </c:pt>
                <c:pt idx="55">
                  <c:v>44431</c:v>
                </c:pt>
                <c:pt idx="56">
                  <c:v>44438</c:v>
                </c:pt>
                <c:pt idx="57">
                  <c:v>44445</c:v>
                </c:pt>
                <c:pt idx="58">
                  <c:v>44452</c:v>
                </c:pt>
                <c:pt idx="59">
                  <c:v>44459</c:v>
                </c:pt>
                <c:pt idx="60">
                  <c:v>44466</c:v>
                </c:pt>
                <c:pt idx="61">
                  <c:v>44473</c:v>
                </c:pt>
                <c:pt idx="62">
                  <c:v>44480</c:v>
                </c:pt>
                <c:pt idx="63">
                  <c:v>44487</c:v>
                </c:pt>
                <c:pt idx="64">
                  <c:v>44494</c:v>
                </c:pt>
                <c:pt idx="65">
                  <c:v>44501</c:v>
                </c:pt>
                <c:pt idx="66">
                  <c:v>44508</c:v>
                </c:pt>
                <c:pt idx="67">
                  <c:v>44515</c:v>
                </c:pt>
                <c:pt idx="68">
                  <c:v>44522</c:v>
                </c:pt>
                <c:pt idx="69">
                  <c:v>44529</c:v>
                </c:pt>
                <c:pt idx="70">
                  <c:v>44536</c:v>
                </c:pt>
                <c:pt idx="71">
                  <c:v>44543</c:v>
                </c:pt>
                <c:pt idx="72">
                  <c:v>44550</c:v>
                </c:pt>
                <c:pt idx="73">
                  <c:v>44557</c:v>
                </c:pt>
                <c:pt idx="74">
                  <c:v>44564</c:v>
                </c:pt>
                <c:pt idx="75">
                  <c:v>44571</c:v>
                </c:pt>
                <c:pt idx="76">
                  <c:v>44578</c:v>
                </c:pt>
                <c:pt idx="77">
                  <c:v>44585</c:v>
                </c:pt>
                <c:pt idx="78">
                  <c:v>44592</c:v>
                </c:pt>
                <c:pt idx="79">
                  <c:v>44599</c:v>
                </c:pt>
                <c:pt idx="80">
                  <c:v>44606</c:v>
                </c:pt>
                <c:pt idx="81">
                  <c:v>44613</c:v>
                </c:pt>
                <c:pt idx="82">
                  <c:v>44620</c:v>
                </c:pt>
                <c:pt idx="83">
                  <c:v>44627</c:v>
                </c:pt>
                <c:pt idx="84">
                  <c:v>44634</c:v>
                </c:pt>
                <c:pt idx="85">
                  <c:v>44641</c:v>
                </c:pt>
                <c:pt idx="86">
                  <c:v>44648</c:v>
                </c:pt>
                <c:pt idx="87">
                  <c:v>44655</c:v>
                </c:pt>
                <c:pt idx="88">
                  <c:v>44662</c:v>
                </c:pt>
                <c:pt idx="89">
                  <c:v>44669</c:v>
                </c:pt>
                <c:pt idx="90">
                  <c:v>44676</c:v>
                </c:pt>
                <c:pt idx="91">
                  <c:v>44683</c:v>
                </c:pt>
                <c:pt idx="92">
                  <c:v>44690</c:v>
                </c:pt>
                <c:pt idx="93">
                  <c:v>44697</c:v>
                </c:pt>
                <c:pt idx="94">
                  <c:v>44704</c:v>
                </c:pt>
                <c:pt idx="95">
                  <c:v>44711</c:v>
                </c:pt>
                <c:pt idx="96">
                  <c:v>44718</c:v>
                </c:pt>
                <c:pt idx="97">
                  <c:v>44725</c:v>
                </c:pt>
                <c:pt idx="98">
                  <c:v>44732</c:v>
                </c:pt>
                <c:pt idx="99">
                  <c:v>44739</c:v>
                </c:pt>
                <c:pt idx="100">
                  <c:v>44746</c:v>
                </c:pt>
                <c:pt idx="101">
                  <c:v>44753</c:v>
                </c:pt>
                <c:pt idx="102">
                  <c:v>44760</c:v>
                </c:pt>
                <c:pt idx="103">
                  <c:v>44767</c:v>
                </c:pt>
                <c:pt idx="104">
                  <c:v>44774</c:v>
                </c:pt>
                <c:pt idx="105">
                  <c:v>44781</c:v>
                </c:pt>
                <c:pt idx="106">
                  <c:v>44788</c:v>
                </c:pt>
                <c:pt idx="107">
                  <c:v>44795</c:v>
                </c:pt>
                <c:pt idx="108">
                  <c:v>44802</c:v>
                </c:pt>
                <c:pt idx="109">
                  <c:v>44809</c:v>
                </c:pt>
                <c:pt idx="110">
                  <c:v>44816</c:v>
                </c:pt>
                <c:pt idx="111">
                  <c:v>44823</c:v>
                </c:pt>
                <c:pt idx="112">
                  <c:v>44830</c:v>
                </c:pt>
                <c:pt idx="113">
                  <c:v>44837</c:v>
                </c:pt>
                <c:pt idx="114">
                  <c:v>44844</c:v>
                </c:pt>
                <c:pt idx="115">
                  <c:v>44851</c:v>
                </c:pt>
                <c:pt idx="116">
                  <c:v>44858</c:v>
                </c:pt>
                <c:pt idx="117">
                  <c:v>44865</c:v>
                </c:pt>
                <c:pt idx="118">
                  <c:v>44872</c:v>
                </c:pt>
                <c:pt idx="119">
                  <c:v>44879</c:v>
                </c:pt>
                <c:pt idx="120">
                  <c:v>44886</c:v>
                </c:pt>
                <c:pt idx="121">
                  <c:v>44893</c:v>
                </c:pt>
                <c:pt idx="122">
                  <c:v>44900</c:v>
                </c:pt>
                <c:pt idx="123">
                  <c:v>44907</c:v>
                </c:pt>
                <c:pt idx="124">
                  <c:v>44914</c:v>
                </c:pt>
                <c:pt idx="125">
                  <c:v>44921</c:v>
                </c:pt>
                <c:pt idx="126">
                  <c:v>44928</c:v>
                </c:pt>
                <c:pt idx="127">
                  <c:v>44935</c:v>
                </c:pt>
                <c:pt idx="128">
                  <c:v>44942</c:v>
                </c:pt>
                <c:pt idx="129">
                  <c:v>44949</c:v>
                </c:pt>
                <c:pt idx="130">
                  <c:v>44956</c:v>
                </c:pt>
                <c:pt idx="131">
                  <c:v>44963</c:v>
                </c:pt>
                <c:pt idx="132">
                  <c:v>44970</c:v>
                </c:pt>
                <c:pt idx="133">
                  <c:v>44977</c:v>
                </c:pt>
                <c:pt idx="134">
                  <c:v>44984</c:v>
                </c:pt>
                <c:pt idx="135">
                  <c:v>44991</c:v>
                </c:pt>
                <c:pt idx="136">
                  <c:v>44998</c:v>
                </c:pt>
                <c:pt idx="137">
                  <c:v>45005</c:v>
                </c:pt>
                <c:pt idx="138">
                  <c:v>45012</c:v>
                </c:pt>
                <c:pt idx="139">
                  <c:v>45019</c:v>
                </c:pt>
                <c:pt idx="140">
                  <c:v>45026</c:v>
                </c:pt>
                <c:pt idx="141">
                  <c:v>45033</c:v>
                </c:pt>
                <c:pt idx="142">
                  <c:v>45040</c:v>
                </c:pt>
                <c:pt idx="143">
                  <c:v>45047</c:v>
                </c:pt>
                <c:pt idx="144">
                  <c:v>45054</c:v>
                </c:pt>
                <c:pt idx="145">
                  <c:v>45061</c:v>
                </c:pt>
                <c:pt idx="146">
                  <c:v>45068</c:v>
                </c:pt>
                <c:pt idx="147">
                  <c:v>45075</c:v>
                </c:pt>
                <c:pt idx="148">
                  <c:v>45082</c:v>
                </c:pt>
                <c:pt idx="149">
                  <c:v>45089</c:v>
                </c:pt>
                <c:pt idx="150">
                  <c:v>45096</c:v>
                </c:pt>
                <c:pt idx="151">
                  <c:v>45103</c:v>
                </c:pt>
                <c:pt idx="152">
                  <c:v>45110</c:v>
                </c:pt>
                <c:pt idx="153">
                  <c:v>45117</c:v>
                </c:pt>
                <c:pt idx="154">
                  <c:v>45124</c:v>
                </c:pt>
                <c:pt idx="155">
                  <c:v>45131</c:v>
                </c:pt>
                <c:pt idx="156">
                  <c:v>45138</c:v>
                </c:pt>
                <c:pt idx="157">
                  <c:v>45145</c:v>
                </c:pt>
                <c:pt idx="158">
                  <c:v>45152</c:v>
                </c:pt>
                <c:pt idx="159">
                  <c:v>45159</c:v>
                </c:pt>
                <c:pt idx="160">
                  <c:v>45166</c:v>
                </c:pt>
                <c:pt idx="161">
                  <c:v>45173</c:v>
                </c:pt>
                <c:pt idx="162">
                  <c:v>45180</c:v>
                </c:pt>
                <c:pt idx="163">
                  <c:v>45187</c:v>
                </c:pt>
                <c:pt idx="164">
                  <c:v>45194</c:v>
                </c:pt>
                <c:pt idx="165">
                  <c:v>45201</c:v>
                </c:pt>
                <c:pt idx="166">
                  <c:v>45208</c:v>
                </c:pt>
                <c:pt idx="167">
                  <c:v>45215</c:v>
                </c:pt>
                <c:pt idx="168">
                  <c:v>45222</c:v>
                </c:pt>
                <c:pt idx="169">
                  <c:v>45229</c:v>
                </c:pt>
                <c:pt idx="170">
                  <c:v>45236</c:v>
                </c:pt>
                <c:pt idx="171">
                  <c:v>45243</c:v>
                </c:pt>
                <c:pt idx="172">
                  <c:v>45250</c:v>
                </c:pt>
                <c:pt idx="173">
                  <c:v>45257</c:v>
                </c:pt>
                <c:pt idx="174">
                  <c:v>45264</c:v>
                </c:pt>
                <c:pt idx="175">
                  <c:v>45271</c:v>
                </c:pt>
                <c:pt idx="176">
                  <c:v>45278</c:v>
                </c:pt>
                <c:pt idx="177">
                  <c:v>45285</c:v>
                </c:pt>
                <c:pt idx="178">
                  <c:v>45292</c:v>
                </c:pt>
                <c:pt idx="179">
                  <c:v>45299</c:v>
                </c:pt>
                <c:pt idx="180">
                  <c:v>45306</c:v>
                </c:pt>
                <c:pt idx="181">
                  <c:v>45313</c:v>
                </c:pt>
                <c:pt idx="182">
                  <c:v>45320</c:v>
                </c:pt>
                <c:pt idx="183">
                  <c:v>45327</c:v>
                </c:pt>
                <c:pt idx="184">
                  <c:v>45334</c:v>
                </c:pt>
                <c:pt idx="185">
                  <c:v>45341</c:v>
                </c:pt>
                <c:pt idx="186">
                  <c:v>45348</c:v>
                </c:pt>
                <c:pt idx="187">
                  <c:v>45355</c:v>
                </c:pt>
                <c:pt idx="188">
                  <c:v>45362</c:v>
                </c:pt>
                <c:pt idx="189">
                  <c:v>45369</c:v>
                </c:pt>
                <c:pt idx="190">
                  <c:v>45376</c:v>
                </c:pt>
                <c:pt idx="191">
                  <c:v>45383</c:v>
                </c:pt>
                <c:pt idx="192">
                  <c:v>45390</c:v>
                </c:pt>
                <c:pt idx="193">
                  <c:v>45397</c:v>
                </c:pt>
                <c:pt idx="194">
                  <c:v>45404</c:v>
                </c:pt>
                <c:pt idx="195">
                  <c:v>45411</c:v>
                </c:pt>
                <c:pt idx="196">
                  <c:v>45418</c:v>
                </c:pt>
                <c:pt idx="197">
                  <c:v>45425</c:v>
                </c:pt>
                <c:pt idx="198">
                  <c:v>45432</c:v>
                </c:pt>
                <c:pt idx="199">
                  <c:v>45439</c:v>
                </c:pt>
                <c:pt idx="200">
                  <c:v>45446</c:v>
                </c:pt>
                <c:pt idx="201">
                  <c:v>45453</c:v>
                </c:pt>
                <c:pt idx="202">
                  <c:v>45460</c:v>
                </c:pt>
                <c:pt idx="203">
                  <c:v>45467</c:v>
                </c:pt>
                <c:pt idx="204">
                  <c:v>45474</c:v>
                </c:pt>
                <c:pt idx="205">
                  <c:v>45481</c:v>
                </c:pt>
                <c:pt idx="206">
                  <c:v>45488</c:v>
                </c:pt>
                <c:pt idx="207">
                  <c:v>45495</c:v>
                </c:pt>
                <c:pt idx="208">
                  <c:v>45502</c:v>
                </c:pt>
                <c:pt idx="209">
                  <c:v>45509</c:v>
                </c:pt>
                <c:pt idx="210">
                  <c:v>45516</c:v>
                </c:pt>
                <c:pt idx="211">
                  <c:v>45523</c:v>
                </c:pt>
                <c:pt idx="212">
                  <c:v>45530</c:v>
                </c:pt>
                <c:pt idx="213">
                  <c:v>45537</c:v>
                </c:pt>
                <c:pt idx="214">
                  <c:v>45544</c:v>
                </c:pt>
                <c:pt idx="215">
                  <c:v>45551</c:v>
                </c:pt>
                <c:pt idx="216">
                  <c:v>45558</c:v>
                </c:pt>
                <c:pt idx="217">
                  <c:v>45565</c:v>
                </c:pt>
                <c:pt idx="218">
                  <c:v>45572</c:v>
                </c:pt>
                <c:pt idx="219">
                  <c:v>45579</c:v>
                </c:pt>
                <c:pt idx="220">
                  <c:v>45586</c:v>
                </c:pt>
                <c:pt idx="221">
                  <c:v>45593</c:v>
                </c:pt>
                <c:pt idx="222">
                  <c:v>45600</c:v>
                </c:pt>
                <c:pt idx="223">
                  <c:v>45607</c:v>
                </c:pt>
                <c:pt idx="224">
                  <c:v>45614</c:v>
                </c:pt>
                <c:pt idx="225">
                  <c:v>45621</c:v>
                </c:pt>
                <c:pt idx="226">
                  <c:v>45628</c:v>
                </c:pt>
                <c:pt idx="227">
                  <c:v>45635</c:v>
                </c:pt>
                <c:pt idx="228">
                  <c:v>45642</c:v>
                </c:pt>
                <c:pt idx="229">
                  <c:v>45649</c:v>
                </c:pt>
                <c:pt idx="230">
                  <c:v>45656</c:v>
                </c:pt>
                <c:pt idx="231">
                  <c:v>45663</c:v>
                </c:pt>
                <c:pt idx="232">
                  <c:v>45670</c:v>
                </c:pt>
                <c:pt idx="233">
                  <c:v>45677</c:v>
                </c:pt>
                <c:pt idx="234">
                  <c:v>45684</c:v>
                </c:pt>
                <c:pt idx="235">
                  <c:v>45691</c:v>
                </c:pt>
                <c:pt idx="236">
                  <c:v>45698</c:v>
                </c:pt>
                <c:pt idx="237">
                  <c:v>45705</c:v>
                </c:pt>
                <c:pt idx="238">
                  <c:v>45712</c:v>
                </c:pt>
                <c:pt idx="239">
                  <c:v>45719</c:v>
                </c:pt>
                <c:pt idx="240">
                  <c:v>45726</c:v>
                </c:pt>
                <c:pt idx="241">
                  <c:v>45733</c:v>
                </c:pt>
              </c:numCache>
            </c:numRef>
          </c:cat>
          <c:val>
            <c:numRef>
              <c:f>sheet1!$B$2:$B$2370</c:f>
              <c:numCache>
                <c:formatCode>0.0</c:formatCode>
                <c:ptCount val="2369"/>
                <c:pt idx="0">
                  <c:v>1126.6199999999999</c:v>
                </c:pt>
                <c:pt idx="1">
                  <c:v>1141.96</c:v>
                </c:pt>
                <c:pt idx="2">
                  <c:v>1164.17</c:v>
                </c:pt>
                <c:pt idx="3">
                  <c:v>1182.75</c:v>
                </c:pt>
                <c:pt idx="4">
                  <c:v>1203.32</c:v>
                </c:pt>
                <c:pt idx="5">
                  <c:v>1285.03</c:v>
                </c:pt>
                <c:pt idx="6">
                  <c:v>1328.53</c:v>
                </c:pt>
                <c:pt idx="7">
                  <c:v>1379.2</c:v>
                </c:pt>
                <c:pt idx="8">
                  <c:v>1397.68</c:v>
                </c:pt>
                <c:pt idx="9">
                  <c:v>1485.49</c:v>
                </c:pt>
                <c:pt idx="10">
                  <c:v>1411.22</c:v>
                </c:pt>
                <c:pt idx="11">
                  <c:v>1434.25</c:v>
                </c:pt>
                <c:pt idx="12">
                  <c:v>1429.15</c:v>
                </c:pt>
                <c:pt idx="13">
                  <c:v>1431.75</c:v>
                </c:pt>
                <c:pt idx="14">
                  <c:v>1456.37</c:v>
                </c:pt>
                <c:pt idx="15">
                  <c:v>1515.03</c:v>
                </c:pt>
                <c:pt idx="16">
                  <c:v>1736.34</c:v>
                </c:pt>
                <c:pt idx="17">
                  <c:v>2165.29</c:v>
                </c:pt>
                <c:pt idx="18">
                  <c:v>2509.2399999999998</c:v>
                </c:pt>
                <c:pt idx="19">
                  <c:v>3093.87</c:v>
                </c:pt>
                <c:pt idx="20">
                  <c:v>3771.99</c:v>
                </c:pt>
                <c:pt idx="21">
                  <c:v>4270.1899999999996</c:v>
                </c:pt>
                <c:pt idx="22">
                  <c:v>4851.3900000000003</c:v>
                </c:pt>
                <c:pt idx="23">
                  <c:v>5863.21</c:v>
                </c:pt>
                <c:pt idx="24">
                  <c:v>5872.07</c:v>
                </c:pt>
                <c:pt idx="25">
                  <c:v>6177.15</c:v>
                </c:pt>
                <c:pt idx="26">
                  <c:v>5947.64</c:v>
                </c:pt>
                <c:pt idx="27">
                  <c:v>5920.05</c:v>
                </c:pt>
                <c:pt idx="28">
                  <c:v>5987.75</c:v>
                </c:pt>
                <c:pt idx="29">
                  <c:v>5879.4</c:v>
                </c:pt>
                <c:pt idx="30">
                  <c:v>5661.26</c:v>
                </c:pt>
                <c:pt idx="31">
                  <c:v>5702.17</c:v>
                </c:pt>
                <c:pt idx="32">
                  <c:v>5440.14</c:v>
                </c:pt>
                <c:pt idx="33">
                  <c:v>5276.42</c:v>
                </c:pt>
                <c:pt idx="34">
                  <c:v>4969.8</c:v>
                </c:pt>
                <c:pt idx="35">
                  <c:v>5202.1899999999996</c:v>
                </c:pt>
                <c:pt idx="36">
                  <c:v>5001.83</c:v>
                </c:pt>
                <c:pt idx="37">
                  <c:v>5118.6400000000003</c:v>
                </c:pt>
                <c:pt idx="38">
                  <c:v>5457.5</c:v>
                </c:pt>
                <c:pt idx="39">
                  <c:v>5817.28</c:v>
                </c:pt>
                <c:pt idx="40">
                  <c:v>6228.12</c:v>
                </c:pt>
                <c:pt idx="41">
                  <c:v>6490</c:v>
                </c:pt>
                <c:pt idx="42">
                  <c:v>6776.45</c:v>
                </c:pt>
                <c:pt idx="43">
                  <c:v>7240.02</c:v>
                </c:pt>
                <c:pt idx="44">
                  <c:v>7472.27</c:v>
                </c:pt>
                <c:pt idx="45">
                  <c:v>7671.69</c:v>
                </c:pt>
                <c:pt idx="46">
                  <c:v>7892.17</c:v>
                </c:pt>
                <c:pt idx="47">
                  <c:v>8378.26</c:v>
                </c:pt>
                <c:pt idx="48">
                  <c:v>8374.6200000000008</c:v>
                </c:pt>
                <c:pt idx="49">
                  <c:v>8637.66</c:v>
                </c:pt>
                <c:pt idx="50">
                  <c:v>9129.08</c:v>
                </c:pt>
                <c:pt idx="51">
                  <c:v>8610.92</c:v>
                </c:pt>
                <c:pt idx="52">
                  <c:v>9715.75</c:v>
                </c:pt>
                <c:pt idx="53">
                  <c:v>9511.51</c:v>
                </c:pt>
                <c:pt idx="54">
                  <c:v>9727.4500000000007</c:v>
                </c:pt>
                <c:pt idx="55">
                  <c:v>9741.8799999999992</c:v>
                </c:pt>
                <c:pt idx="56">
                  <c:v>9949.52</c:v>
                </c:pt>
                <c:pt idx="57">
                  <c:v>9856.64</c:v>
                </c:pt>
                <c:pt idx="58">
                  <c:v>9965.39</c:v>
                </c:pt>
                <c:pt idx="59">
                  <c:v>10373.450000000001</c:v>
                </c:pt>
                <c:pt idx="60">
                  <c:v>9682.57</c:v>
                </c:pt>
                <c:pt idx="61">
                  <c:v>10189.700000000001</c:v>
                </c:pt>
                <c:pt idx="62">
                  <c:v>9762.7000000000007</c:v>
                </c:pt>
                <c:pt idx="63">
                  <c:v>10151.870000000001</c:v>
                </c:pt>
                <c:pt idx="64">
                  <c:v>9956.52</c:v>
                </c:pt>
                <c:pt idx="65">
                  <c:v>10066.790000000001</c:v>
                </c:pt>
                <c:pt idx="66">
                  <c:v>9922.2900000000009</c:v>
                </c:pt>
                <c:pt idx="67">
                  <c:v>9858.69</c:v>
                </c:pt>
                <c:pt idx="68">
                  <c:v>9456.23</c:v>
                </c:pt>
                <c:pt idx="69">
                  <c:v>9506.93</c:v>
                </c:pt>
                <c:pt idx="70">
                  <c:v>9406.02</c:v>
                </c:pt>
                <c:pt idx="71">
                  <c:v>9242.91</c:v>
                </c:pt>
                <c:pt idx="72">
                  <c:v>9512.5400000000009</c:v>
                </c:pt>
                <c:pt idx="73">
                  <c:v>9562.09</c:v>
                </c:pt>
                <c:pt idx="74">
                  <c:v>9003.66</c:v>
                </c:pt>
                <c:pt idx="75">
                  <c:v>9672.06</c:v>
                </c:pt>
                <c:pt idx="76">
                  <c:v>9734.4</c:v>
                </c:pt>
                <c:pt idx="77">
                  <c:v>10072.17</c:v>
                </c:pt>
                <c:pt idx="78">
                  <c:v>9796.6</c:v>
                </c:pt>
                <c:pt idx="79">
                  <c:v>9713.06</c:v>
                </c:pt>
                <c:pt idx="80">
                  <c:v>9587.0400000000009</c:v>
                </c:pt>
                <c:pt idx="81">
                  <c:v>9538.35</c:v>
                </c:pt>
                <c:pt idx="82">
                  <c:v>9444.6</c:v>
                </c:pt>
                <c:pt idx="83">
                  <c:v>9466.34</c:v>
                </c:pt>
                <c:pt idx="84">
                  <c:v>9258.7900000000009</c:v>
                </c:pt>
                <c:pt idx="85">
                  <c:v>8639.5</c:v>
                </c:pt>
                <c:pt idx="86">
                  <c:v>8414.17</c:v>
                </c:pt>
                <c:pt idx="87">
                  <c:v>7989.1</c:v>
                </c:pt>
                <c:pt idx="88">
                  <c:v>7846.72</c:v>
                </c:pt>
                <c:pt idx="89">
                  <c:v>7680.88</c:v>
                </c:pt>
                <c:pt idx="90">
                  <c:v>7626.98</c:v>
                </c:pt>
                <c:pt idx="91">
                  <c:v>7410.22</c:v>
                </c:pt>
                <c:pt idx="92">
                  <c:v>7231.37</c:v>
                </c:pt>
                <c:pt idx="93">
                  <c:v>6926.18</c:v>
                </c:pt>
                <c:pt idx="94">
                  <c:v>6967.25</c:v>
                </c:pt>
                <c:pt idx="95">
                  <c:v>7033.02</c:v>
                </c:pt>
                <c:pt idx="96">
                  <c:v>7105.6</c:v>
                </c:pt>
                <c:pt idx="97">
                  <c:v>7129.03</c:v>
                </c:pt>
                <c:pt idx="98">
                  <c:v>7126.98</c:v>
                </c:pt>
                <c:pt idx="99">
                  <c:v>6993.26</c:v>
                </c:pt>
                <c:pt idx="100">
                  <c:v>6991.61</c:v>
                </c:pt>
                <c:pt idx="101">
                  <c:v>6945.82</c:v>
                </c:pt>
                <c:pt idx="102">
                  <c:v>6875.29</c:v>
                </c:pt>
                <c:pt idx="103">
                  <c:v>6823.52</c:v>
                </c:pt>
                <c:pt idx="104">
                  <c:v>6730.6</c:v>
                </c:pt>
                <c:pt idx="105">
                  <c:v>6483.75</c:v>
                </c:pt>
                <c:pt idx="106">
                  <c:v>6238.88</c:v>
                </c:pt>
                <c:pt idx="107">
                  <c:v>6073.69</c:v>
                </c:pt>
                <c:pt idx="108">
                  <c:v>5799.76</c:v>
                </c:pt>
                <c:pt idx="109">
                  <c:v>5470.47</c:v>
                </c:pt>
                <c:pt idx="110">
                  <c:v>5028.58</c:v>
                </c:pt>
                <c:pt idx="111">
                  <c:v>4776.3100000000004</c:v>
                </c:pt>
                <c:pt idx="112">
                  <c:v>4361.9399999999996</c:v>
                </c:pt>
                <c:pt idx="113">
                  <c:v>3936.27</c:v>
                </c:pt>
                <c:pt idx="114">
                  <c:v>3433.54</c:v>
                </c:pt>
                <c:pt idx="115">
                  <c:v>3111.54</c:v>
                </c:pt>
                <c:pt idx="116">
                  <c:v>2903.65</c:v>
                </c:pt>
                <c:pt idx="117">
                  <c:v>2686.2</c:v>
                </c:pt>
                <c:pt idx="118">
                  <c:v>2228.33</c:v>
                </c:pt>
                <c:pt idx="119">
                  <c:v>1862.48</c:v>
                </c:pt>
                <c:pt idx="120">
                  <c:v>1479.84</c:v>
                </c:pt>
                <c:pt idx="121">
                  <c:v>1263.3900000000001</c:v>
                </c:pt>
                <c:pt idx="122">
                  <c:v>1191.01</c:v>
                </c:pt>
                <c:pt idx="123">
                  <c:v>1173.1500000000001</c:v>
                </c:pt>
                <c:pt idx="124">
                  <c:v>1154.28</c:v>
                </c:pt>
                <c:pt idx="125">
                  <c:v>1142.07</c:v>
                </c:pt>
                <c:pt idx="126">
                  <c:v>1159.44</c:v>
                </c:pt>
                <c:pt idx="127">
                  <c:v>1152.95</c:v>
                </c:pt>
                <c:pt idx="128">
                  <c:v>1144.5899999999999</c:v>
                </c:pt>
                <c:pt idx="129">
                  <c:v>1126.75</c:v>
                </c:pt>
                <c:pt idx="130">
                  <c:v>1119.28</c:v>
                </c:pt>
                <c:pt idx="131">
                  <c:v>1069.73</c:v>
                </c:pt>
                <c:pt idx="132">
                  <c:v>1030.9000000000001</c:v>
                </c:pt>
                <c:pt idx="133">
                  <c:v>1007.35</c:v>
                </c:pt>
                <c:pt idx="134">
                  <c:v>967.87</c:v>
                </c:pt>
                <c:pt idx="135">
                  <c:v>954.48</c:v>
                </c:pt>
                <c:pt idx="136">
                  <c:v>930.74</c:v>
                </c:pt>
                <c:pt idx="137">
                  <c:v>917.51</c:v>
                </c:pt>
                <c:pt idx="138">
                  <c:v>945.84</c:v>
                </c:pt>
                <c:pt idx="139">
                  <c:v>917.28</c:v>
                </c:pt>
                <c:pt idx="140">
                  <c:v>916.24</c:v>
                </c:pt>
                <c:pt idx="141">
                  <c:v>929.79</c:v>
                </c:pt>
                <c:pt idx="142">
                  <c:v>942.71</c:v>
                </c:pt>
                <c:pt idx="143">
                  <c:v>942.71</c:v>
                </c:pt>
                <c:pt idx="144">
                  <c:v>930.18</c:v>
                </c:pt>
                <c:pt idx="145">
                  <c:v>926.48</c:v>
                </c:pt>
                <c:pt idx="146">
                  <c:v>931.67</c:v>
                </c:pt>
                <c:pt idx="147">
                  <c:v>912.07</c:v>
                </c:pt>
                <c:pt idx="148">
                  <c:v>902.92</c:v>
                </c:pt>
                <c:pt idx="149">
                  <c:v>897.01</c:v>
                </c:pt>
                <c:pt idx="150">
                  <c:v>857.01</c:v>
                </c:pt>
                <c:pt idx="151">
                  <c:v>835.34</c:v>
                </c:pt>
                <c:pt idx="152">
                  <c:v>816.07</c:v>
                </c:pt>
                <c:pt idx="153">
                  <c:v>790.78</c:v>
                </c:pt>
                <c:pt idx="154">
                  <c:v>760</c:v>
                </c:pt>
                <c:pt idx="155">
                  <c:v>779.38</c:v>
                </c:pt>
                <c:pt idx="156">
                  <c:v>782.81</c:v>
                </c:pt>
                <c:pt idx="157">
                  <c:v>828.86</c:v>
                </c:pt>
                <c:pt idx="158">
                  <c:v>1110.02</c:v>
                </c:pt>
                <c:pt idx="159">
                  <c:v>1039.01</c:v>
                </c:pt>
                <c:pt idx="160">
                  <c:v>974.78</c:v>
                </c:pt>
                <c:pt idx="161">
                  <c:v>896.92</c:v>
                </c:pt>
                <c:pt idx="162">
                  <c:v>827.37</c:v>
                </c:pt>
                <c:pt idx="163">
                  <c:v>780.47</c:v>
                </c:pt>
                <c:pt idx="164">
                  <c:v>704.62</c:v>
                </c:pt>
                <c:pt idx="165">
                  <c:v>646.87</c:v>
                </c:pt>
                <c:pt idx="166">
                  <c:v>623.99</c:v>
                </c:pt>
                <c:pt idx="167">
                  <c:v>600.4</c:v>
                </c:pt>
                <c:pt idx="168">
                  <c:v>597.16999999999996</c:v>
                </c:pt>
                <c:pt idx="169">
                  <c:v>607.04999999999995</c:v>
                </c:pt>
                <c:pt idx="170">
                  <c:v>653.73</c:v>
                </c:pt>
                <c:pt idx="171">
                  <c:v>858.18</c:v>
                </c:pt>
                <c:pt idx="172">
                  <c:v>789.28</c:v>
                </c:pt>
                <c:pt idx="173">
                  <c:v>754.34</c:v>
                </c:pt>
                <c:pt idx="174">
                  <c:v>752.7</c:v>
                </c:pt>
                <c:pt idx="175">
                  <c:v>939.57</c:v>
                </c:pt>
                <c:pt idx="176">
                  <c:v>990.38</c:v>
                </c:pt>
                <c:pt idx="177">
                  <c:v>1204.81</c:v>
                </c:pt>
                <c:pt idx="178">
                  <c:v>1228.1600000000001</c:v>
                </c:pt>
                <c:pt idx="179">
                  <c:v>2098.6</c:v>
                </c:pt>
                <c:pt idx="180">
                  <c:v>3140.7</c:v>
                </c:pt>
                <c:pt idx="181">
                  <c:v>3509.06</c:v>
                </c:pt>
                <c:pt idx="182">
                  <c:v>3496.05</c:v>
                </c:pt>
                <c:pt idx="183">
                  <c:v>3472.03</c:v>
                </c:pt>
                <c:pt idx="184">
                  <c:v>3363.34</c:v>
                </c:pt>
                <c:pt idx="185">
                  <c:v>3246.51</c:v>
                </c:pt>
                <c:pt idx="186">
                  <c:v>2936.57</c:v>
                </c:pt>
                <c:pt idx="187">
                  <c:v>2849.62</c:v>
                </c:pt>
                <c:pt idx="188">
                  <c:v>2533.6799999999998</c:v>
                </c:pt>
                <c:pt idx="189">
                  <c:v>2437.19</c:v>
                </c:pt>
                <c:pt idx="190">
                  <c:v>2153.34</c:v>
                </c:pt>
                <c:pt idx="191">
                  <c:v>2174.19</c:v>
                </c:pt>
                <c:pt idx="192">
                  <c:v>2172.14</c:v>
                </c:pt>
                <c:pt idx="193">
                  <c:v>2147.86</c:v>
                </c:pt>
                <c:pt idx="194">
                  <c:v>2134.85</c:v>
                </c:pt>
                <c:pt idx="195">
                  <c:v>2175.94</c:v>
                </c:pt>
                <c:pt idx="196">
                  <c:v>2208.83</c:v>
                </c:pt>
                <c:pt idx="197">
                  <c:v>2512.14</c:v>
                </c:pt>
                <c:pt idx="198">
                  <c:v>3070.53</c:v>
                </c:pt>
                <c:pt idx="199">
                  <c:v>3368.61</c:v>
                </c:pt>
                <c:pt idx="200">
                  <c:v>3798.68</c:v>
                </c:pt>
                <c:pt idx="201">
                  <c:v>4229.83</c:v>
                </c:pt>
                <c:pt idx="202">
                  <c:v>4688.53</c:v>
                </c:pt>
                <c:pt idx="203">
                  <c:v>4765.87</c:v>
                </c:pt>
                <c:pt idx="204">
                  <c:v>5353.02</c:v>
                </c:pt>
                <c:pt idx="205">
                  <c:v>5432.34</c:v>
                </c:pt>
                <c:pt idx="206">
                  <c:v>6002.23</c:v>
                </c:pt>
                <c:pt idx="207">
                  <c:v>6318.1</c:v>
                </c:pt>
                <c:pt idx="208">
                  <c:v>6225.65</c:v>
                </c:pt>
                <c:pt idx="209">
                  <c:v>6160.75</c:v>
                </c:pt>
                <c:pt idx="210">
                  <c:v>6060.83</c:v>
                </c:pt>
                <c:pt idx="211">
                  <c:v>5918.73</c:v>
                </c:pt>
                <c:pt idx="212">
                  <c:v>5486.45</c:v>
                </c:pt>
                <c:pt idx="213">
                  <c:v>5110.07</c:v>
                </c:pt>
                <c:pt idx="214">
                  <c:v>4566.2700000000004</c:v>
                </c:pt>
                <c:pt idx="215">
                  <c:v>3813.92</c:v>
                </c:pt>
                <c:pt idx="216">
                  <c:v>3285.46</c:v>
                </c:pt>
                <c:pt idx="217">
                  <c:v>3164.84</c:v>
                </c:pt>
                <c:pt idx="218">
                  <c:v>2662.75</c:v>
                </c:pt>
                <c:pt idx="219">
                  <c:v>2391.04</c:v>
                </c:pt>
                <c:pt idx="220">
                  <c:v>2204.58</c:v>
                </c:pt>
                <c:pt idx="221">
                  <c:v>2207.87</c:v>
                </c:pt>
                <c:pt idx="222">
                  <c:v>2258.5100000000002</c:v>
                </c:pt>
                <c:pt idx="223">
                  <c:v>2526.04</c:v>
                </c:pt>
                <c:pt idx="224">
                  <c:v>2771.7</c:v>
                </c:pt>
                <c:pt idx="225">
                  <c:v>2861.6</c:v>
                </c:pt>
                <c:pt idx="226">
                  <c:v>2828.63</c:v>
                </c:pt>
                <c:pt idx="227">
                  <c:v>3032.96</c:v>
                </c:pt>
                <c:pt idx="228">
                  <c:v>3456.71</c:v>
                </c:pt>
                <c:pt idx="229">
                  <c:v>3364.32</c:v>
                </c:pt>
                <c:pt idx="230">
                  <c:v>3513.8</c:v>
                </c:pt>
                <c:pt idx="231">
                  <c:v>3387.69</c:v>
                </c:pt>
                <c:pt idx="232">
                  <c:v>3258.68</c:v>
                </c:pt>
                <c:pt idx="233">
                  <c:v>2787.38</c:v>
                </c:pt>
                <c:pt idx="234">
                  <c:v>2466.36</c:v>
                </c:pt>
                <c:pt idx="235">
                  <c:v>2274.3200000000002</c:v>
                </c:pt>
                <c:pt idx="236">
                  <c:v>2353.0100000000002</c:v>
                </c:pt>
                <c:pt idx="237">
                  <c:v>1897.84</c:v>
                </c:pt>
                <c:pt idx="238">
                  <c:v>1684.4</c:v>
                </c:pt>
                <c:pt idx="239">
                  <c:v>1580.8</c:v>
                </c:pt>
                <c:pt idx="240">
                  <c:v>1677.57</c:v>
                </c:pt>
                <c:pt idx="241">
                  <c:v>1161.7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7-4D43-BA46-BEDC24CB1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4765136"/>
        <c:axId val="-2134759696"/>
      </c:areaChart>
      <c:dateAx>
        <c:axId val="-2134765136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6350">
            <a:solidFill>
              <a:srgbClr val="000000"/>
            </a:solidFill>
          </a:ln>
        </c:spPr>
        <c:txPr>
          <a:bodyPr rot="-5400000" vert="horz"/>
          <a:lstStyle/>
          <a:p>
            <a:pPr>
              <a:defRPr/>
            </a:pPr>
            <a:endParaRPr lang="zh-CN"/>
          </a:p>
        </c:txPr>
        <c:crossAx val="-2134759696"/>
        <c:crosses val="autoZero"/>
        <c:auto val="1"/>
        <c:lblOffset val="100"/>
        <c:baseTimeUnit val="days"/>
      </c:dateAx>
      <c:valAx>
        <c:axId val="-21347596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6350">
            <a:solidFill>
              <a:srgbClr val="000000"/>
            </a:solidFill>
          </a:ln>
        </c:spPr>
        <c:crossAx val="-213476513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5.6867891513561063E-5"/>
          <c:y val="0.90989144140998834"/>
          <c:w val="0.9999431321084864"/>
          <c:h val="9.0108558590011642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56598153911128"/>
          <c:y val="1.795129775444736E-2"/>
          <c:w val="0.87297730324163414"/>
          <c:h val="0.63188821299335018"/>
        </c:manualLayout>
      </c:layout>
      <c:area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SCFIS:美西航线（基本港）</c:v>
                </c:pt>
              </c:strCache>
            </c:strRef>
          </c:tx>
          <c:spPr>
            <a:solidFill>
              <a:srgbClr val="AA0911"/>
            </a:solidFill>
            <a:ln w="19050">
              <a:noFill/>
            </a:ln>
          </c:spPr>
          <c:cat>
            <c:numRef>
              <c:f>sheet1!$A$2:$A$2370</c:f>
              <c:numCache>
                <c:formatCode>m/d/yyyy</c:formatCode>
                <c:ptCount val="2369"/>
                <c:pt idx="0">
                  <c:v>44046</c:v>
                </c:pt>
                <c:pt idx="1">
                  <c:v>44053</c:v>
                </c:pt>
                <c:pt idx="2">
                  <c:v>44060</c:v>
                </c:pt>
                <c:pt idx="3">
                  <c:v>44067</c:v>
                </c:pt>
                <c:pt idx="4">
                  <c:v>44074</c:v>
                </c:pt>
                <c:pt idx="5">
                  <c:v>44081</c:v>
                </c:pt>
                <c:pt idx="6">
                  <c:v>44088</c:v>
                </c:pt>
                <c:pt idx="7">
                  <c:v>44095</c:v>
                </c:pt>
                <c:pt idx="8">
                  <c:v>44102</c:v>
                </c:pt>
                <c:pt idx="9">
                  <c:v>44109</c:v>
                </c:pt>
                <c:pt idx="10">
                  <c:v>44116</c:v>
                </c:pt>
                <c:pt idx="11">
                  <c:v>44123</c:v>
                </c:pt>
                <c:pt idx="12">
                  <c:v>44130</c:v>
                </c:pt>
                <c:pt idx="13">
                  <c:v>44137</c:v>
                </c:pt>
                <c:pt idx="14">
                  <c:v>44144</c:v>
                </c:pt>
                <c:pt idx="15">
                  <c:v>44151</c:v>
                </c:pt>
                <c:pt idx="16">
                  <c:v>44158</c:v>
                </c:pt>
                <c:pt idx="17">
                  <c:v>44165</c:v>
                </c:pt>
                <c:pt idx="18">
                  <c:v>44172</c:v>
                </c:pt>
                <c:pt idx="19">
                  <c:v>44179</c:v>
                </c:pt>
                <c:pt idx="20">
                  <c:v>44186</c:v>
                </c:pt>
                <c:pt idx="21">
                  <c:v>44193</c:v>
                </c:pt>
                <c:pt idx="22">
                  <c:v>44200</c:v>
                </c:pt>
                <c:pt idx="23">
                  <c:v>44207</c:v>
                </c:pt>
                <c:pt idx="24">
                  <c:v>44214</c:v>
                </c:pt>
                <c:pt idx="25">
                  <c:v>44221</c:v>
                </c:pt>
                <c:pt idx="26">
                  <c:v>44228</c:v>
                </c:pt>
                <c:pt idx="27">
                  <c:v>44235</c:v>
                </c:pt>
                <c:pt idx="28">
                  <c:v>44245</c:v>
                </c:pt>
                <c:pt idx="29">
                  <c:v>44249</c:v>
                </c:pt>
                <c:pt idx="30">
                  <c:v>44256</c:v>
                </c:pt>
                <c:pt idx="31">
                  <c:v>44263</c:v>
                </c:pt>
                <c:pt idx="32">
                  <c:v>44270</c:v>
                </c:pt>
                <c:pt idx="33">
                  <c:v>44277</c:v>
                </c:pt>
                <c:pt idx="34">
                  <c:v>44284</c:v>
                </c:pt>
                <c:pt idx="35">
                  <c:v>44291</c:v>
                </c:pt>
                <c:pt idx="36">
                  <c:v>44298</c:v>
                </c:pt>
                <c:pt idx="37">
                  <c:v>44305</c:v>
                </c:pt>
                <c:pt idx="38">
                  <c:v>44312</c:v>
                </c:pt>
                <c:pt idx="39">
                  <c:v>44319</c:v>
                </c:pt>
                <c:pt idx="40">
                  <c:v>44326</c:v>
                </c:pt>
                <c:pt idx="41">
                  <c:v>44333</c:v>
                </c:pt>
                <c:pt idx="42">
                  <c:v>44340</c:v>
                </c:pt>
                <c:pt idx="43">
                  <c:v>44347</c:v>
                </c:pt>
                <c:pt idx="44">
                  <c:v>44354</c:v>
                </c:pt>
                <c:pt idx="45">
                  <c:v>44361</c:v>
                </c:pt>
                <c:pt idx="46">
                  <c:v>44368</c:v>
                </c:pt>
                <c:pt idx="47">
                  <c:v>44375</c:v>
                </c:pt>
                <c:pt idx="48">
                  <c:v>44382</c:v>
                </c:pt>
                <c:pt idx="49">
                  <c:v>44389</c:v>
                </c:pt>
                <c:pt idx="50">
                  <c:v>44396</c:v>
                </c:pt>
                <c:pt idx="51">
                  <c:v>44403</c:v>
                </c:pt>
                <c:pt idx="52">
                  <c:v>44410</c:v>
                </c:pt>
                <c:pt idx="53">
                  <c:v>44417</c:v>
                </c:pt>
                <c:pt idx="54">
                  <c:v>44424</c:v>
                </c:pt>
                <c:pt idx="55">
                  <c:v>44431</c:v>
                </c:pt>
                <c:pt idx="56">
                  <c:v>44438</c:v>
                </c:pt>
                <c:pt idx="57">
                  <c:v>44445</c:v>
                </c:pt>
                <c:pt idx="58">
                  <c:v>44452</c:v>
                </c:pt>
                <c:pt idx="59">
                  <c:v>44459</c:v>
                </c:pt>
                <c:pt idx="60">
                  <c:v>44466</c:v>
                </c:pt>
                <c:pt idx="61">
                  <c:v>44473</c:v>
                </c:pt>
                <c:pt idx="62">
                  <c:v>44480</c:v>
                </c:pt>
                <c:pt idx="63">
                  <c:v>44487</c:v>
                </c:pt>
                <c:pt idx="64">
                  <c:v>44494</c:v>
                </c:pt>
                <c:pt idx="65">
                  <c:v>44501</c:v>
                </c:pt>
                <c:pt idx="66">
                  <c:v>44508</c:v>
                </c:pt>
                <c:pt idx="67">
                  <c:v>44515</c:v>
                </c:pt>
                <c:pt idx="68">
                  <c:v>44522</c:v>
                </c:pt>
                <c:pt idx="69">
                  <c:v>44529</c:v>
                </c:pt>
                <c:pt idx="70">
                  <c:v>44536</c:v>
                </c:pt>
                <c:pt idx="71">
                  <c:v>44543</c:v>
                </c:pt>
                <c:pt idx="72">
                  <c:v>44550</c:v>
                </c:pt>
                <c:pt idx="73">
                  <c:v>44557</c:v>
                </c:pt>
                <c:pt idx="74">
                  <c:v>44564</c:v>
                </c:pt>
                <c:pt idx="75">
                  <c:v>44571</c:v>
                </c:pt>
                <c:pt idx="76">
                  <c:v>44578</c:v>
                </c:pt>
                <c:pt idx="77">
                  <c:v>44585</c:v>
                </c:pt>
                <c:pt idx="78">
                  <c:v>44592</c:v>
                </c:pt>
                <c:pt idx="79">
                  <c:v>44599</c:v>
                </c:pt>
                <c:pt idx="80">
                  <c:v>44606</c:v>
                </c:pt>
                <c:pt idx="81">
                  <c:v>44613</c:v>
                </c:pt>
                <c:pt idx="82">
                  <c:v>44620</c:v>
                </c:pt>
                <c:pt idx="83">
                  <c:v>44627</c:v>
                </c:pt>
                <c:pt idx="84">
                  <c:v>44634</c:v>
                </c:pt>
                <c:pt idx="85">
                  <c:v>44641</c:v>
                </c:pt>
                <c:pt idx="86">
                  <c:v>44648</c:v>
                </c:pt>
                <c:pt idx="87">
                  <c:v>44655</c:v>
                </c:pt>
                <c:pt idx="88">
                  <c:v>44662</c:v>
                </c:pt>
                <c:pt idx="89">
                  <c:v>44669</c:v>
                </c:pt>
                <c:pt idx="90">
                  <c:v>44676</c:v>
                </c:pt>
                <c:pt idx="91">
                  <c:v>44683</c:v>
                </c:pt>
                <c:pt idx="92">
                  <c:v>44690</c:v>
                </c:pt>
                <c:pt idx="93">
                  <c:v>44697</c:v>
                </c:pt>
                <c:pt idx="94">
                  <c:v>44704</c:v>
                </c:pt>
                <c:pt idx="95">
                  <c:v>44711</c:v>
                </c:pt>
                <c:pt idx="96">
                  <c:v>44718</c:v>
                </c:pt>
                <c:pt idx="97">
                  <c:v>44725</c:v>
                </c:pt>
                <c:pt idx="98">
                  <c:v>44732</c:v>
                </c:pt>
                <c:pt idx="99">
                  <c:v>44739</c:v>
                </c:pt>
                <c:pt idx="100">
                  <c:v>44746</c:v>
                </c:pt>
                <c:pt idx="101">
                  <c:v>44753</c:v>
                </c:pt>
                <c:pt idx="102">
                  <c:v>44760</c:v>
                </c:pt>
                <c:pt idx="103">
                  <c:v>44767</c:v>
                </c:pt>
                <c:pt idx="104">
                  <c:v>44774</c:v>
                </c:pt>
                <c:pt idx="105">
                  <c:v>44781</c:v>
                </c:pt>
                <c:pt idx="106">
                  <c:v>44788</c:v>
                </c:pt>
                <c:pt idx="107">
                  <c:v>44795</c:v>
                </c:pt>
                <c:pt idx="108">
                  <c:v>44802</c:v>
                </c:pt>
                <c:pt idx="109">
                  <c:v>44809</c:v>
                </c:pt>
                <c:pt idx="110">
                  <c:v>44816</c:v>
                </c:pt>
                <c:pt idx="111">
                  <c:v>44823</c:v>
                </c:pt>
                <c:pt idx="112">
                  <c:v>44830</c:v>
                </c:pt>
                <c:pt idx="113">
                  <c:v>44837</c:v>
                </c:pt>
                <c:pt idx="114">
                  <c:v>44844</c:v>
                </c:pt>
                <c:pt idx="115">
                  <c:v>44851</c:v>
                </c:pt>
                <c:pt idx="116">
                  <c:v>44858</c:v>
                </c:pt>
                <c:pt idx="117">
                  <c:v>44865</c:v>
                </c:pt>
                <c:pt idx="118">
                  <c:v>44872</c:v>
                </c:pt>
                <c:pt idx="119">
                  <c:v>44879</c:v>
                </c:pt>
                <c:pt idx="120">
                  <c:v>44886</c:v>
                </c:pt>
                <c:pt idx="121">
                  <c:v>44893</c:v>
                </c:pt>
                <c:pt idx="122">
                  <c:v>44900</c:v>
                </c:pt>
                <c:pt idx="123">
                  <c:v>44907</c:v>
                </c:pt>
                <c:pt idx="124">
                  <c:v>44914</c:v>
                </c:pt>
                <c:pt idx="125">
                  <c:v>44921</c:v>
                </c:pt>
                <c:pt idx="126">
                  <c:v>44928</c:v>
                </c:pt>
                <c:pt idx="127">
                  <c:v>44935</c:v>
                </c:pt>
                <c:pt idx="128">
                  <c:v>44942</c:v>
                </c:pt>
                <c:pt idx="129">
                  <c:v>44949</c:v>
                </c:pt>
                <c:pt idx="130">
                  <c:v>44956</c:v>
                </c:pt>
                <c:pt idx="131">
                  <c:v>44963</c:v>
                </c:pt>
                <c:pt idx="132">
                  <c:v>44970</c:v>
                </c:pt>
                <c:pt idx="133">
                  <c:v>44977</c:v>
                </c:pt>
                <c:pt idx="134">
                  <c:v>44984</c:v>
                </c:pt>
                <c:pt idx="135">
                  <c:v>44991</c:v>
                </c:pt>
                <c:pt idx="136">
                  <c:v>44998</c:v>
                </c:pt>
                <c:pt idx="137">
                  <c:v>45005</c:v>
                </c:pt>
                <c:pt idx="138">
                  <c:v>45012</c:v>
                </c:pt>
                <c:pt idx="139">
                  <c:v>45019</c:v>
                </c:pt>
                <c:pt idx="140">
                  <c:v>45026</c:v>
                </c:pt>
                <c:pt idx="141">
                  <c:v>45033</c:v>
                </c:pt>
                <c:pt idx="142">
                  <c:v>45040</c:v>
                </c:pt>
                <c:pt idx="143">
                  <c:v>45047</c:v>
                </c:pt>
                <c:pt idx="144">
                  <c:v>45054</c:v>
                </c:pt>
                <c:pt idx="145">
                  <c:v>45061</c:v>
                </c:pt>
                <c:pt idx="146">
                  <c:v>45068</c:v>
                </c:pt>
                <c:pt idx="147">
                  <c:v>45075</c:v>
                </c:pt>
                <c:pt idx="148">
                  <c:v>45082</c:v>
                </c:pt>
                <c:pt idx="149">
                  <c:v>45089</c:v>
                </c:pt>
                <c:pt idx="150">
                  <c:v>45096</c:v>
                </c:pt>
                <c:pt idx="151">
                  <c:v>45103</c:v>
                </c:pt>
                <c:pt idx="152">
                  <c:v>45110</c:v>
                </c:pt>
                <c:pt idx="153">
                  <c:v>45117</c:v>
                </c:pt>
                <c:pt idx="154">
                  <c:v>45124</c:v>
                </c:pt>
                <c:pt idx="155">
                  <c:v>45131</c:v>
                </c:pt>
                <c:pt idx="156">
                  <c:v>45138</c:v>
                </c:pt>
                <c:pt idx="157">
                  <c:v>45145</c:v>
                </c:pt>
                <c:pt idx="158">
                  <c:v>45152</c:v>
                </c:pt>
                <c:pt idx="159">
                  <c:v>45159</c:v>
                </c:pt>
                <c:pt idx="160">
                  <c:v>45166</c:v>
                </c:pt>
                <c:pt idx="161">
                  <c:v>45173</c:v>
                </c:pt>
                <c:pt idx="162">
                  <c:v>45180</c:v>
                </c:pt>
                <c:pt idx="163">
                  <c:v>45187</c:v>
                </c:pt>
                <c:pt idx="164">
                  <c:v>45194</c:v>
                </c:pt>
                <c:pt idx="165">
                  <c:v>45201</c:v>
                </c:pt>
                <c:pt idx="166">
                  <c:v>45208</c:v>
                </c:pt>
                <c:pt idx="167">
                  <c:v>45215</c:v>
                </c:pt>
                <c:pt idx="168">
                  <c:v>45222</c:v>
                </c:pt>
                <c:pt idx="169">
                  <c:v>45229</c:v>
                </c:pt>
                <c:pt idx="170">
                  <c:v>45236</c:v>
                </c:pt>
                <c:pt idx="171">
                  <c:v>45243</c:v>
                </c:pt>
                <c:pt idx="172">
                  <c:v>45250</c:v>
                </c:pt>
                <c:pt idx="173">
                  <c:v>45257</c:v>
                </c:pt>
                <c:pt idx="174">
                  <c:v>45264</c:v>
                </c:pt>
                <c:pt idx="175">
                  <c:v>45271</c:v>
                </c:pt>
                <c:pt idx="176">
                  <c:v>45278</c:v>
                </c:pt>
                <c:pt idx="177">
                  <c:v>45285</c:v>
                </c:pt>
                <c:pt idx="178">
                  <c:v>45292</c:v>
                </c:pt>
                <c:pt idx="179">
                  <c:v>45299</c:v>
                </c:pt>
                <c:pt idx="180">
                  <c:v>45306</c:v>
                </c:pt>
                <c:pt idx="181">
                  <c:v>45313</c:v>
                </c:pt>
                <c:pt idx="182">
                  <c:v>45320</c:v>
                </c:pt>
                <c:pt idx="183">
                  <c:v>45327</c:v>
                </c:pt>
                <c:pt idx="184">
                  <c:v>45334</c:v>
                </c:pt>
                <c:pt idx="185">
                  <c:v>45341</c:v>
                </c:pt>
                <c:pt idx="186">
                  <c:v>45348</c:v>
                </c:pt>
                <c:pt idx="187">
                  <c:v>45355</c:v>
                </c:pt>
                <c:pt idx="188">
                  <c:v>45362</c:v>
                </c:pt>
                <c:pt idx="189">
                  <c:v>45369</c:v>
                </c:pt>
                <c:pt idx="190">
                  <c:v>45376</c:v>
                </c:pt>
                <c:pt idx="191">
                  <c:v>45383</c:v>
                </c:pt>
                <c:pt idx="192">
                  <c:v>45390</c:v>
                </c:pt>
                <c:pt idx="193">
                  <c:v>45397</c:v>
                </c:pt>
                <c:pt idx="194">
                  <c:v>45404</c:v>
                </c:pt>
                <c:pt idx="195">
                  <c:v>45411</c:v>
                </c:pt>
                <c:pt idx="196">
                  <c:v>45418</c:v>
                </c:pt>
                <c:pt idx="197">
                  <c:v>45425</c:v>
                </c:pt>
                <c:pt idx="198">
                  <c:v>45432</c:v>
                </c:pt>
                <c:pt idx="199">
                  <c:v>45439</c:v>
                </c:pt>
                <c:pt idx="200">
                  <c:v>45446</c:v>
                </c:pt>
                <c:pt idx="201">
                  <c:v>45453</c:v>
                </c:pt>
                <c:pt idx="202">
                  <c:v>45460</c:v>
                </c:pt>
                <c:pt idx="203">
                  <c:v>45467</c:v>
                </c:pt>
                <c:pt idx="204">
                  <c:v>45474</c:v>
                </c:pt>
                <c:pt idx="205">
                  <c:v>45481</c:v>
                </c:pt>
                <c:pt idx="206">
                  <c:v>45488</c:v>
                </c:pt>
                <c:pt idx="207">
                  <c:v>45495</c:v>
                </c:pt>
                <c:pt idx="208">
                  <c:v>45502</c:v>
                </c:pt>
                <c:pt idx="209">
                  <c:v>45509</c:v>
                </c:pt>
                <c:pt idx="210">
                  <c:v>45516</c:v>
                </c:pt>
                <c:pt idx="211">
                  <c:v>45523</c:v>
                </c:pt>
                <c:pt idx="212">
                  <c:v>45530</c:v>
                </c:pt>
                <c:pt idx="213">
                  <c:v>45537</c:v>
                </c:pt>
                <c:pt idx="214">
                  <c:v>45544</c:v>
                </c:pt>
                <c:pt idx="215">
                  <c:v>45551</c:v>
                </c:pt>
                <c:pt idx="216">
                  <c:v>45558</c:v>
                </c:pt>
                <c:pt idx="217">
                  <c:v>45565</c:v>
                </c:pt>
                <c:pt idx="218">
                  <c:v>45572</c:v>
                </c:pt>
                <c:pt idx="219">
                  <c:v>45579</c:v>
                </c:pt>
                <c:pt idx="220">
                  <c:v>45586</c:v>
                </c:pt>
                <c:pt idx="221">
                  <c:v>45593</c:v>
                </c:pt>
                <c:pt idx="222">
                  <c:v>45600</c:v>
                </c:pt>
                <c:pt idx="223">
                  <c:v>45607</c:v>
                </c:pt>
                <c:pt idx="224">
                  <c:v>45614</c:v>
                </c:pt>
                <c:pt idx="225">
                  <c:v>45621</c:v>
                </c:pt>
                <c:pt idx="226">
                  <c:v>45628</c:v>
                </c:pt>
                <c:pt idx="227">
                  <c:v>45635</c:v>
                </c:pt>
                <c:pt idx="228">
                  <c:v>45642</c:v>
                </c:pt>
                <c:pt idx="229">
                  <c:v>45649</c:v>
                </c:pt>
                <c:pt idx="230">
                  <c:v>45656</c:v>
                </c:pt>
                <c:pt idx="231">
                  <c:v>45663</c:v>
                </c:pt>
                <c:pt idx="232">
                  <c:v>45670</c:v>
                </c:pt>
                <c:pt idx="233">
                  <c:v>45677</c:v>
                </c:pt>
                <c:pt idx="234">
                  <c:v>45684</c:v>
                </c:pt>
                <c:pt idx="235">
                  <c:v>45691</c:v>
                </c:pt>
                <c:pt idx="236">
                  <c:v>45698</c:v>
                </c:pt>
                <c:pt idx="237">
                  <c:v>45705</c:v>
                </c:pt>
                <c:pt idx="238">
                  <c:v>45712</c:v>
                </c:pt>
                <c:pt idx="239">
                  <c:v>45719</c:v>
                </c:pt>
                <c:pt idx="240">
                  <c:v>45726</c:v>
                </c:pt>
                <c:pt idx="241">
                  <c:v>45733</c:v>
                </c:pt>
              </c:numCache>
            </c:numRef>
          </c:cat>
          <c:val>
            <c:numRef>
              <c:f>sheet1!$E$2:$E$2370</c:f>
              <c:numCache>
                <c:formatCode>General</c:formatCode>
                <c:ptCount val="2369"/>
                <c:pt idx="126" formatCode="0.0">
                  <c:v>821.67</c:v>
                </c:pt>
                <c:pt idx="127" formatCode="0.0">
                  <c:v>821.55</c:v>
                </c:pt>
                <c:pt idx="128" formatCode="0.0">
                  <c:v>797.56</c:v>
                </c:pt>
                <c:pt idx="129" formatCode="0.0">
                  <c:v>797.72</c:v>
                </c:pt>
                <c:pt idx="130" formatCode="0.0">
                  <c:v>786.68</c:v>
                </c:pt>
                <c:pt idx="131" formatCode="0.0">
                  <c:v>779.44</c:v>
                </c:pt>
                <c:pt idx="132" formatCode="0.0">
                  <c:v>767.93</c:v>
                </c:pt>
                <c:pt idx="133" formatCode="0.0">
                  <c:v>760.93</c:v>
                </c:pt>
                <c:pt idx="134" formatCode="0.0">
                  <c:v>720.1</c:v>
                </c:pt>
                <c:pt idx="135" formatCode="0.0">
                  <c:v>712.25</c:v>
                </c:pt>
                <c:pt idx="136" formatCode="0.0">
                  <c:v>706.33</c:v>
                </c:pt>
                <c:pt idx="137" formatCode="0.0">
                  <c:v>697</c:v>
                </c:pt>
                <c:pt idx="138" formatCode="0.0">
                  <c:v>690.88</c:v>
                </c:pt>
                <c:pt idx="139" formatCode="0.0">
                  <c:v>697.36</c:v>
                </c:pt>
                <c:pt idx="140" formatCode="0.0">
                  <c:v>672.59</c:v>
                </c:pt>
                <c:pt idx="141" formatCode="0.0">
                  <c:v>678.57</c:v>
                </c:pt>
                <c:pt idx="142" formatCode="0.0">
                  <c:v>833.65</c:v>
                </c:pt>
                <c:pt idx="143" formatCode="0.0">
                  <c:v>961.02</c:v>
                </c:pt>
                <c:pt idx="144" formatCode="0.0">
                  <c:v>865.9</c:v>
                </c:pt>
                <c:pt idx="145" formatCode="0.0">
                  <c:v>858.05</c:v>
                </c:pt>
                <c:pt idx="146" formatCode="0.0">
                  <c:v>821.79</c:v>
                </c:pt>
                <c:pt idx="147" formatCode="0.0">
                  <c:v>784.22</c:v>
                </c:pt>
                <c:pt idx="148" formatCode="0.0">
                  <c:v>727.89</c:v>
                </c:pt>
                <c:pt idx="149" formatCode="0.0">
                  <c:v>912.85</c:v>
                </c:pt>
                <c:pt idx="150" formatCode="0.0">
                  <c:v>808.08</c:v>
                </c:pt>
                <c:pt idx="151" formatCode="0.0">
                  <c:v>718.52</c:v>
                </c:pt>
                <c:pt idx="152" formatCode="0.0">
                  <c:v>690.96</c:v>
                </c:pt>
                <c:pt idx="153" formatCode="0.0">
                  <c:v>762.8</c:v>
                </c:pt>
                <c:pt idx="154" formatCode="0.0">
                  <c:v>851.29</c:v>
                </c:pt>
                <c:pt idx="155" formatCode="0.0">
                  <c:v>979.33</c:v>
                </c:pt>
                <c:pt idx="156" formatCode="0.0">
                  <c:v>1090.3599999999999</c:v>
                </c:pt>
                <c:pt idx="157" formatCode="0.0">
                  <c:v>1103.6400000000001</c:v>
                </c:pt>
                <c:pt idx="158" formatCode="0.0">
                  <c:v>1218.54</c:v>
                </c:pt>
                <c:pt idx="159" formatCode="0.0">
                  <c:v>1227.97</c:v>
                </c:pt>
                <c:pt idx="160" formatCode="0.0">
                  <c:v>1219.1300000000001</c:v>
                </c:pt>
                <c:pt idx="161" formatCode="0.0">
                  <c:v>1215.4100000000001</c:v>
                </c:pt>
                <c:pt idx="162" formatCode="0.0">
                  <c:v>1307.54</c:v>
                </c:pt>
                <c:pt idx="163" formatCode="0.0">
                  <c:v>1198.6500000000001</c:v>
                </c:pt>
                <c:pt idx="164" formatCode="0.0">
                  <c:v>1236.8699999999999</c:v>
                </c:pt>
                <c:pt idx="165" formatCode="0.0">
                  <c:v>1103.3800000000001</c:v>
                </c:pt>
                <c:pt idx="166" formatCode="0.0">
                  <c:v>1102.21</c:v>
                </c:pt>
                <c:pt idx="167" formatCode="0.0">
                  <c:v>1082.95</c:v>
                </c:pt>
                <c:pt idx="168" formatCode="0.0">
                  <c:v>1087.58</c:v>
                </c:pt>
                <c:pt idx="169" formatCode="0.0">
                  <c:v>1151.26</c:v>
                </c:pt>
                <c:pt idx="170" formatCode="0.0">
                  <c:v>1120.03</c:v>
                </c:pt>
                <c:pt idx="171" formatCode="0.0">
                  <c:v>1259.5999999999999</c:v>
                </c:pt>
                <c:pt idx="172" formatCode="0.0">
                  <c:v>1108.75</c:v>
                </c:pt>
                <c:pt idx="173" formatCode="0.0">
                  <c:v>1025.6199999999999</c:v>
                </c:pt>
                <c:pt idx="174" formatCode="0.0">
                  <c:v>966.48</c:v>
                </c:pt>
                <c:pt idx="175" formatCode="0.0">
                  <c:v>977.78</c:v>
                </c:pt>
                <c:pt idx="176" formatCode="0.0">
                  <c:v>997</c:v>
                </c:pt>
                <c:pt idx="177" formatCode="0.0">
                  <c:v>1080.67</c:v>
                </c:pt>
                <c:pt idx="178" formatCode="0.0">
                  <c:v>1095.06</c:v>
                </c:pt>
                <c:pt idx="179" formatCode="0.0">
                  <c:v>1186.96</c:v>
                </c:pt>
                <c:pt idx="180" formatCode="0.0">
                  <c:v>1673.68</c:v>
                </c:pt>
                <c:pt idx="181" formatCode="0.0">
                  <c:v>1684</c:v>
                </c:pt>
                <c:pt idx="182" formatCode="0.0">
                  <c:v>2603.88</c:v>
                </c:pt>
                <c:pt idx="183" formatCode="0.0">
                  <c:v>2513.12</c:v>
                </c:pt>
                <c:pt idx="184" formatCode="0.0">
                  <c:v>2904.03</c:v>
                </c:pt>
                <c:pt idx="185" formatCode="0.0">
                  <c:v>2789.1</c:v>
                </c:pt>
                <c:pt idx="186" formatCode="0.0">
                  <c:v>2172.11</c:v>
                </c:pt>
                <c:pt idx="187" formatCode="0.0">
                  <c:v>2520.69</c:v>
                </c:pt>
                <c:pt idx="188" formatCode="0.0">
                  <c:v>2177.17</c:v>
                </c:pt>
                <c:pt idx="189" formatCode="0.0">
                  <c:v>2075.66</c:v>
                </c:pt>
                <c:pt idx="190" formatCode="0.0">
                  <c:v>2030.1</c:v>
                </c:pt>
                <c:pt idx="191" formatCode="0.0">
                  <c:v>1890.15</c:v>
                </c:pt>
                <c:pt idx="192" formatCode="0.0">
                  <c:v>1888.86</c:v>
                </c:pt>
                <c:pt idx="193" formatCode="0.0">
                  <c:v>1802.53</c:v>
                </c:pt>
                <c:pt idx="194" formatCode="0.0">
                  <c:v>1797.45</c:v>
                </c:pt>
                <c:pt idx="195" formatCode="0.0">
                  <c:v>1811.82</c:v>
                </c:pt>
                <c:pt idx="196" formatCode="0.0">
                  <c:v>1834.42</c:v>
                </c:pt>
                <c:pt idx="197" formatCode="0.0">
                  <c:v>2508</c:v>
                </c:pt>
                <c:pt idx="198" formatCode="0.0">
                  <c:v>2610.91</c:v>
                </c:pt>
                <c:pt idx="199" formatCode="0.0">
                  <c:v>3082.86</c:v>
                </c:pt>
                <c:pt idx="200" formatCode="0.0">
                  <c:v>3240.51</c:v>
                </c:pt>
                <c:pt idx="201" formatCode="0.0">
                  <c:v>3385.84</c:v>
                </c:pt>
                <c:pt idx="202" formatCode="0.0">
                  <c:v>3841.56</c:v>
                </c:pt>
                <c:pt idx="203" formatCode="0.0">
                  <c:v>4064.85</c:v>
                </c:pt>
                <c:pt idx="204" formatCode="0.0">
                  <c:v>4426.83</c:v>
                </c:pt>
                <c:pt idx="205" formatCode="0.0">
                  <c:v>4580.3</c:v>
                </c:pt>
                <c:pt idx="206" formatCode="0.0">
                  <c:v>4905.87</c:v>
                </c:pt>
                <c:pt idx="207" formatCode="0.0">
                  <c:v>4615.55</c:v>
                </c:pt>
                <c:pt idx="208" formatCode="0.0">
                  <c:v>4146.93</c:v>
                </c:pt>
                <c:pt idx="209" formatCode="0.0">
                  <c:v>4056.72</c:v>
                </c:pt>
                <c:pt idx="210" formatCode="0.0">
                  <c:v>3887.79</c:v>
                </c:pt>
                <c:pt idx="211" formatCode="0.0">
                  <c:v>3261.47</c:v>
                </c:pt>
                <c:pt idx="212" formatCode="0.0">
                  <c:v>3050.69</c:v>
                </c:pt>
                <c:pt idx="213" formatCode="0.0">
                  <c:v>3012.79</c:v>
                </c:pt>
                <c:pt idx="214" formatCode="0.0">
                  <c:v>2805.22</c:v>
                </c:pt>
                <c:pt idx="215" formatCode="0.0">
                  <c:v>3055.45</c:v>
                </c:pt>
                <c:pt idx="216" formatCode="0.0">
                  <c:v>3105.52</c:v>
                </c:pt>
                <c:pt idx="217" formatCode="0.0">
                  <c:v>2868.75</c:v>
                </c:pt>
                <c:pt idx="218" formatCode="0.0">
                  <c:v>2787.6</c:v>
                </c:pt>
                <c:pt idx="219" formatCode="0.0">
                  <c:v>2718.64</c:v>
                </c:pt>
                <c:pt idx="220" formatCode="0.0">
                  <c:v>2712.25</c:v>
                </c:pt>
                <c:pt idx="221" formatCode="0.0">
                  <c:v>2817.72</c:v>
                </c:pt>
                <c:pt idx="222" formatCode="0.0">
                  <c:v>2779.01</c:v>
                </c:pt>
                <c:pt idx="223" formatCode="0.0">
                  <c:v>2819.48</c:v>
                </c:pt>
                <c:pt idx="224" formatCode="0.0">
                  <c:v>2443.04</c:v>
                </c:pt>
                <c:pt idx="225" formatCode="0.0">
                  <c:v>1961.49</c:v>
                </c:pt>
                <c:pt idx="226" formatCode="0.0">
                  <c:v>1717.87</c:v>
                </c:pt>
                <c:pt idx="227" formatCode="0.0">
                  <c:v>1602.83</c:v>
                </c:pt>
                <c:pt idx="228" formatCode="0.0">
                  <c:v>1498.64</c:v>
                </c:pt>
                <c:pt idx="229" formatCode="0.0">
                  <c:v>1821.18</c:v>
                </c:pt>
                <c:pt idx="230" formatCode="0.0">
                  <c:v>2560.88</c:v>
                </c:pt>
                <c:pt idx="231" formatCode="0.0">
                  <c:v>2822.46</c:v>
                </c:pt>
                <c:pt idx="232" formatCode="0.0">
                  <c:v>3210.93</c:v>
                </c:pt>
                <c:pt idx="233" formatCode="0.0">
                  <c:v>2447.77</c:v>
                </c:pt>
                <c:pt idx="234" formatCode="0.0">
                  <c:v>2651.96</c:v>
                </c:pt>
                <c:pt idx="235" formatCode="0.0">
                  <c:v>2460.73</c:v>
                </c:pt>
                <c:pt idx="236" formatCode="0.0">
                  <c:v>2246.96</c:v>
                </c:pt>
                <c:pt idx="237" formatCode="0.0">
                  <c:v>1931.49</c:v>
                </c:pt>
                <c:pt idx="238" formatCode="0.0">
                  <c:v>1851.41</c:v>
                </c:pt>
                <c:pt idx="239" formatCode="0.0">
                  <c:v>1599.93</c:v>
                </c:pt>
                <c:pt idx="240" formatCode="0.0">
                  <c:v>1506.5889999999999</c:v>
                </c:pt>
                <c:pt idx="241" formatCode="0.0">
                  <c:v>1260.05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6-4D6C-BECC-D84F04221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4765136"/>
        <c:axId val="-2134759696"/>
      </c:areaChart>
      <c:dateAx>
        <c:axId val="-2134765136"/>
        <c:scaling>
          <c:orientation val="minMax"/>
          <c:min val="44928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6350">
            <a:solidFill>
              <a:srgbClr val="000000"/>
            </a:solidFill>
          </a:ln>
        </c:spPr>
        <c:txPr>
          <a:bodyPr rot="-5400000" vert="horz"/>
          <a:lstStyle/>
          <a:p>
            <a:pPr>
              <a:defRPr/>
            </a:pPr>
            <a:endParaRPr lang="zh-CN"/>
          </a:p>
        </c:txPr>
        <c:crossAx val="-2134759696"/>
        <c:crosses val="autoZero"/>
        <c:auto val="1"/>
        <c:lblOffset val="100"/>
        <c:baseTimeUnit val="days"/>
      </c:dateAx>
      <c:valAx>
        <c:axId val="-21347596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6350">
            <a:solidFill>
              <a:srgbClr val="000000"/>
            </a:solidFill>
          </a:ln>
        </c:spPr>
        <c:crossAx val="-213476513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5.6867891513561063E-5"/>
          <c:y val="0.90989144140998834"/>
          <c:w val="0.9999431321084864"/>
          <c:h val="9.0108558590011642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744456789527079E-2"/>
          <c:y val="4.8462404693126335E-2"/>
          <c:w val="0.90242519685039391"/>
          <c:h val="0.63440756973910184"/>
        </c:manualLayout>
      </c:layout>
      <c:lineChart>
        <c:grouping val="standar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SCFIS:欧洲航线(基本港)</c:v>
                </c:pt>
              </c:strCache>
            </c:strRef>
          </c:tx>
          <c:marker>
            <c:symbol val="none"/>
          </c:marker>
          <c:cat>
            <c:numRef>
              <c:f>Sheet2!$H$2:$H$206</c:f>
              <c:numCache>
                <c:formatCode>m/d/yyyy</c:formatCode>
                <c:ptCount val="42"/>
                <c:pt idx="0">
                  <c:v>45159</c:v>
                </c:pt>
                <c:pt idx="1">
                  <c:v>45166</c:v>
                </c:pt>
                <c:pt idx="2">
                  <c:v>45173</c:v>
                </c:pt>
                <c:pt idx="3">
                  <c:v>45180</c:v>
                </c:pt>
                <c:pt idx="4">
                  <c:v>45187</c:v>
                </c:pt>
                <c:pt idx="5">
                  <c:v>45194</c:v>
                </c:pt>
                <c:pt idx="6">
                  <c:v>45208</c:v>
                </c:pt>
                <c:pt idx="7">
                  <c:v>45215</c:v>
                </c:pt>
                <c:pt idx="8">
                  <c:v>45222</c:v>
                </c:pt>
                <c:pt idx="9">
                  <c:v>45229</c:v>
                </c:pt>
                <c:pt idx="10">
                  <c:v>45236</c:v>
                </c:pt>
                <c:pt idx="11">
                  <c:v>45243</c:v>
                </c:pt>
                <c:pt idx="12">
                  <c:v>45250</c:v>
                </c:pt>
                <c:pt idx="13">
                  <c:v>45257</c:v>
                </c:pt>
                <c:pt idx="14">
                  <c:v>45264</c:v>
                </c:pt>
                <c:pt idx="15">
                  <c:v>45271</c:v>
                </c:pt>
                <c:pt idx="16">
                  <c:v>45278</c:v>
                </c:pt>
                <c:pt idx="17">
                  <c:v>45285</c:v>
                </c:pt>
                <c:pt idx="18">
                  <c:v>45299</c:v>
                </c:pt>
                <c:pt idx="19">
                  <c:v>45306</c:v>
                </c:pt>
                <c:pt idx="20">
                  <c:v>45313</c:v>
                </c:pt>
                <c:pt idx="21">
                  <c:v>45320</c:v>
                </c:pt>
                <c:pt idx="22">
                  <c:v>45327</c:v>
                </c:pt>
                <c:pt idx="23">
                  <c:v>45341</c:v>
                </c:pt>
                <c:pt idx="24">
                  <c:v>45348</c:v>
                </c:pt>
                <c:pt idx="25">
                  <c:v>45355</c:v>
                </c:pt>
                <c:pt idx="26">
                  <c:v>45362</c:v>
                </c:pt>
                <c:pt idx="27">
                  <c:v>45369</c:v>
                </c:pt>
                <c:pt idx="28">
                  <c:v>45376</c:v>
                </c:pt>
                <c:pt idx="29">
                  <c:v>45383</c:v>
                </c:pt>
                <c:pt idx="30">
                  <c:v>45390</c:v>
                </c:pt>
                <c:pt idx="31">
                  <c:v>45397</c:v>
                </c:pt>
                <c:pt idx="32">
                  <c:v>45404</c:v>
                </c:pt>
                <c:pt idx="33">
                  <c:v>45411</c:v>
                </c:pt>
                <c:pt idx="34">
                  <c:v>45418</c:v>
                </c:pt>
                <c:pt idx="35">
                  <c:v>45425</c:v>
                </c:pt>
                <c:pt idx="36">
                  <c:v>45432</c:v>
                </c:pt>
                <c:pt idx="37">
                  <c:v>45439</c:v>
                </c:pt>
                <c:pt idx="38">
                  <c:v>45446</c:v>
                </c:pt>
                <c:pt idx="39">
                  <c:v>45460</c:v>
                </c:pt>
                <c:pt idx="40">
                  <c:v>45467</c:v>
                </c:pt>
                <c:pt idx="41">
                  <c:v>45474</c:v>
                </c:pt>
              </c:numCache>
            </c:numRef>
          </c:cat>
          <c:val>
            <c:numRef>
              <c:f>Sheet2!$I$2:$I$206</c:f>
              <c:numCache>
                <c:formatCode>General</c:formatCode>
                <c:ptCount val="42"/>
                <c:pt idx="0">
                  <c:v>1039.01</c:v>
                </c:pt>
                <c:pt idx="1">
                  <c:v>974.78</c:v>
                </c:pt>
                <c:pt idx="2">
                  <c:v>896.92</c:v>
                </c:pt>
                <c:pt idx="3">
                  <c:v>827.37</c:v>
                </c:pt>
                <c:pt idx="4">
                  <c:v>780.47</c:v>
                </c:pt>
                <c:pt idx="5">
                  <c:v>704.62</c:v>
                </c:pt>
                <c:pt idx="6">
                  <c:v>623.99</c:v>
                </c:pt>
                <c:pt idx="7">
                  <c:v>600.4</c:v>
                </c:pt>
                <c:pt idx="8">
                  <c:v>597.16999999999996</c:v>
                </c:pt>
                <c:pt idx="9">
                  <c:v>607.04999999999995</c:v>
                </c:pt>
                <c:pt idx="10">
                  <c:v>653.73</c:v>
                </c:pt>
                <c:pt idx="11">
                  <c:v>858.18</c:v>
                </c:pt>
                <c:pt idx="12">
                  <c:v>789.28</c:v>
                </c:pt>
                <c:pt idx="13">
                  <c:v>754.34</c:v>
                </c:pt>
                <c:pt idx="14">
                  <c:v>752.7</c:v>
                </c:pt>
                <c:pt idx="15">
                  <c:v>939.57</c:v>
                </c:pt>
                <c:pt idx="16">
                  <c:v>990.38</c:v>
                </c:pt>
                <c:pt idx="17">
                  <c:v>1204.81</c:v>
                </c:pt>
                <c:pt idx="18">
                  <c:v>2098.6</c:v>
                </c:pt>
                <c:pt idx="19">
                  <c:v>3140.7</c:v>
                </c:pt>
                <c:pt idx="20">
                  <c:v>3509.06</c:v>
                </c:pt>
                <c:pt idx="21">
                  <c:v>3496.05</c:v>
                </c:pt>
                <c:pt idx="22">
                  <c:v>3472.03</c:v>
                </c:pt>
                <c:pt idx="23">
                  <c:v>3246.51</c:v>
                </c:pt>
                <c:pt idx="24">
                  <c:v>2936.57</c:v>
                </c:pt>
                <c:pt idx="25">
                  <c:v>2849.62</c:v>
                </c:pt>
                <c:pt idx="26">
                  <c:v>2533.6799999999998</c:v>
                </c:pt>
                <c:pt idx="27">
                  <c:v>2437.19</c:v>
                </c:pt>
                <c:pt idx="28">
                  <c:v>2153.34</c:v>
                </c:pt>
                <c:pt idx="29">
                  <c:v>2174.19</c:v>
                </c:pt>
                <c:pt idx="30">
                  <c:v>2172.14</c:v>
                </c:pt>
                <c:pt idx="31">
                  <c:v>2147.86</c:v>
                </c:pt>
                <c:pt idx="32">
                  <c:v>2134.85</c:v>
                </c:pt>
                <c:pt idx="33">
                  <c:v>2175.94</c:v>
                </c:pt>
                <c:pt idx="34">
                  <c:v>2208.83</c:v>
                </c:pt>
                <c:pt idx="35">
                  <c:v>2512.14</c:v>
                </c:pt>
                <c:pt idx="36">
                  <c:v>3070.53</c:v>
                </c:pt>
                <c:pt idx="37">
                  <c:v>3368.61</c:v>
                </c:pt>
                <c:pt idx="38">
                  <c:v>3798.68</c:v>
                </c:pt>
                <c:pt idx="39">
                  <c:v>4688.53</c:v>
                </c:pt>
                <c:pt idx="40">
                  <c:v>4765.87</c:v>
                </c:pt>
                <c:pt idx="41">
                  <c:v>5353.02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E-42CB-9B9D-E75BF042F310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EC2404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numRef>
              <c:f>Sheet2!$H$2:$H$206</c:f>
              <c:numCache>
                <c:formatCode>m/d/yyyy</c:formatCode>
                <c:ptCount val="42"/>
                <c:pt idx="0">
                  <c:v>45159</c:v>
                </c:pt>
                <c:pt idx="1">
                  <c:v>45166</c:v>
                </c:pt>
                <c:pt idx="2">
                  <c:v>45173</c:v>
                </c:pt>
                <c:pt idx="3">
                  <c:v>45180</c:v>
                </c:pt>
                <c:pt idx="4">
                  <c:v>45187</c:v>
                </c:pt>
                <c:pt idx="5">
                  <c:v>45194</c:v>
                </c:pt>
                <c:pt idx="6">
                  <c:v>45208</c:v>
                </c:pt>
                <c:pt idx="7">
                  <c:v>45215</c:v>
                </c:pt>
                <c:pt idx="8">
                  <c:v>45222</c:v>
                </c:pt>
                <c:pt idx="9">
                  <c:v>45229</c:v>
                </c:pt>
                <c:pt idx="10">
                  <c:v>45236</c:v>
                </c:pt>
                <c:pt idx="11">
                  <c:v>45243</c:v>
                </c:pt>
                <c:pt idx="12">
                  <c:v>45250</c:v>
                </c:pt>
                <c:pt idx="13">
                  <c:v>45257</c:v>
                </c:pt>
                <c:pt idx="14">
                  <c:v>45264</c:v>
                </c:pt>
                <c:pt idx="15">
                  <c:v>45271</c:v>
                </c:pt>
                <c:pt idx="16">
                  <c:v>45278</c:v>
                </c:pt>
                <c:pt idx="17">
                  <c:v>45285</c:v>
                </c:pt>
                <c:pt idx="18">
                  <c:v>45299</c:v>
                </c:pt>
                <c:pt idx="19">
                  <c:v>45306</c:v>
                </c:pt>
                <c:pt idx="20">
                  <c:v>45313</c:v>
                </c:pt>
                <c:pt idx="21">
                  <c:v>45320</c:v>
                </c:pt>
                <c:pt idx="22">
                  <c:v>45327</c:v>
                </c:pt>
                <c:pt idx="23">
                  <c:v>45341</c:v>
                </c:pt>
                <c:pt idx="24">
                  <c:v>45348</c:v>
                </c:pt>
                <c:pt idx="25">
                  <c:v>45355</c:v>
                </c:pt>
                <c:pt idx="26">
                  <c:v>45362</c:v>
                </c:pt>
                <c:pt idx="27">
                  <c:v>45369</c:v>
                </c:pt>
                <c:pt idx="28">
                  <c:v>45376</c:v>
                </c:pt>
                <c:pt idx="29">
                  <c:v>45383</c:v>
                </c:pt>
                <c:pt idx="30">
                  <c:v>45390</c:v>
                </c:pt>
                <c:pt idx="31">
                  <c:v>45397</c:v>
                </c:pt>
                <c:pt idx="32">
                  <c:v>45404</c:v>
                </c:pt>
                <c:pt idx="33">
                  <c:v>45411</c:v>
                </c:pt>
                <c:pt idx="34">
                  <c:v>45418</c:v>
                </c:pt>
                <c:pt idx="35">
                  <c:v>45425</c:v>
                </c:pt>
                <c:pt idx="36">
                  <c:v>45432</c:v>
                </c:pt>
                <c:pt idx="37">
                  <c:v>45439</c:v>
                </c:pt>
                <c:pt idx="38">
                  <c:v>45446</c:v>
                </c:pt>
                <c:pt idx="39">
                  <c:v>45460</c:v>
                </c:pt>
                <c:pt idx="40">
                  <c:v>45467</c:v>
                </c:pt>
                <c:pt idx="41">
                  <c:v>45474</c:v>
                </c:pt>
              </c:numCache>
            </c:numRef>
          </c:cat>
          <c:val>
            <c:numRef>
              <c:f>Sheet2!$J$2:$J$206</c:f>
              <c:numCache>
                <c:formatCode>General</c:formatCode>
                <c:ptCount val="42"/>
                <c:pt idx="0">
                  <c:v>903.2</c:v>
                </c:pt>
                <c:pt idx="1">
                  <c:v>847.9</c:v>
                </c:pt>
                <c:pt idx="2">
                  <c:v>877.8</c:v>
                </c:pt>
                <c:pt idx="3">
                  <c:v>905.3</c:v>
                </c:pt>
                <c:pt idx="4">
                  <c:v>897.7</c:v>
                </c:pt>
                <c:pt idx="5">
                  <c:v>834.1</c:v>
                </c:pt>
                <c:pt idx="6">
                  <c:v>737</c:v>
                </c:pt>
                <c:pt idx="7">
                  <c:v>781.7</c:v>
                </c:pt>
                <c:pt idx="8">
                  <c:v>757.8</c:v>
                </c:pt>
                <c:pt idx="9">
                  <c:v>794</c:v>
                </c:pt>
                <c:pt idx="10">
                  <c:v>763.4</c:v>
                </c:pt>
                <c:pt idx="11">
                  <c:v>737.3</c:v>
                </c:pt>
                <c:pt idx="12">
                  <c:v>758.9</c:v>
                </c:pt>
                <c:pt idx="13">
                  <c:v>767</c:v>
                </c:pt>
                <c:pt idx="14">
                  <c:v>824.4</c:v>
                </c:pt>
                <c:pt idx="15">
                  <c:v>900.4</c:v>
                </c:pt>
                <c:pt idx="16">
                  <c:v>979.7</c:v>
                </c:pt>
                <c:pt idx="17">
                  <c:v>1330</c:v>
                </c:pt>
                <c:pt idx="18">
                  <c:v>2177.5</c:v>
                </c:pt>
                <c:pt idx="19">
                  <c:v>2068.3000000000002</c:v>
                </c:pt>
                <c:pt idx="20">
                  <c:v>1982.2</c:v>
                </c:pt>
                <c:pt idx="21">
                  <c:v>1908</c:v>
                </c:pt>
                <c:pt idx="22">
                  <c:v>1769.6</c:v>
                </c:pt>
                <c:pt idx="23">
                  <c:v>2189.9</c:v>
                </c:pt>
                <c:pt idx="24">
                  <c:v>1965.5</c:v>
                </c:pt>
                <c:pt idx="25">
                  <c:v>1831</c:v>
                </c:pt>
                <c:pt idx="26">
                  <c:v>1815</c:v>
                </c:pt>
                <c:pt idx="27">
                  <c:v>1826.1</c:v>
                </c:pt>
                <c:pt idx="28">
                  <c:v>2094</c:v>
                </c:pt>
                <c:pt idx="29">
                  <c:v>2119.8000000000002</c:v>
                </c:pt>
                <c:pt idx="30">
                  <c:v>2120</c:v>
                </c:pt>
                <c:pt idx="31">
                  <c:v>2228</c:v>
                </c:pt>
                <c:pt idx="32">
                  <c:v>2166.3000000000002</c:v>
                </c:pt>
                <c:pt idx="33">
                  <c:v>2170.1999999999998</c:v>
                </c:pt>
                <c:pt idx="34">
                  <c:v>1708</c:v>
                </c:pt>
                <c:pt idx="35">
                  <c:v>2232.8000000000002</c:v>
                </c:pt>
                <c:pt idx="36">
                  <c:v>1933</c:v>
                </c:pt>
                <c:pt idx="37">
                  <c:v>1970.4</c:v>
                </c:pt>
                <c:pt idx="38">
                  <c:v>1850</c:v>
                </c:pt>
                <c:pt idx="39">
                  <c:v>2397</c:v>
                </c:pt>
                <c:pt idx="40">
                  <c:v>2439.1</c:v>
                </c:pt>
                <c:pt idx="41">
                  <c:v>3096.5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E-42CB-9B9D-E75BF042F310}"/>
            </c:ext>
          </c:extLst>
        </c:ser>
        <c:ser>
          <c:idx val="2"/>
          <c:order val="2"/>
          <c:tx>
            <c:strRef>
              <c:f>Sheet2!$K$1</c:f>
              <c:strCache>
                <c:ptCount val="1"/>
                <c:pt idx="0">
                  <c:v>EC2406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Sheet2!$H$2:$H$206</c:f>
              <c:numCache>
                <c:formatCode>m/d/yyyy</c:formatCode>
                <c:ptCount val="42"/>
                <c:pt idx="0">
                  <c:v>45159</c:v>
                </c:pt>
                <c:pt idx="1">
                  <c:v>45166</c:v>
                </c:pt>
                <c:pt idx="2">
                  <c:v>45173</c:v>
                </c:pt>
                <c:pt idx="3">
                  <c:v>45180</c:v>
                </c:pt>
                <c:pt idx="4">
                  <c:v>45187</c:v>
                </c:pt>
                <c:pt idx="5">
                  <c:v>45194</c:v>
                </c:pt>
                <c:pt idx="6">
                  <c:v>45208</c:v>
                </c:pt>
                <c:pt idx="7">
                  <c:v>45215</c:v>
                </c:pt>
                <c:pt idx="8">
                  <c:v>45222</c:v>
                </c:pt>
                <c:pt idx="9">
                  <c:v>45229</c:v>
                </c:pt>
                <c:pt idx="10">
                  <c:v>45236</c:v>
                </c:pt>
                <c:pt idx="11">
                  <c:v>45243</c:v>
                </c:pt>
                <c:pt idx="12">
                  <c:v>45250</c:v>
                </c:pt>
                <c:pt idx="13">
                  <c:v>45257</c:v>
                </c:pt>
                <c:pt idx="14">
                  <c:v>45264</c:v>
                </c:pt>
                <c:pt idx="15">
                  <c:v>45271</c:v>
                </c:pt>
                <c:pt idx="16">
                  <c:v>45278</c:v>
                </c:pt>
                <c:pt idx="17">
                  <c:v>45285</c:v>
                </c:pt>
                <c:pt idx="18">
                  <c:v>45299</c:v>
                </c:pt>
                <c:pt idx="19">
                  <c:v>45306</c:v>
                </c:pt>
                <c:pt idx="20">
                  <c:v>45313</c:v>
                </c:pt>
                <c:pt idx="21">
                  <c:v>45320</c:v>
                </c:pt>
                <c:pt idx="22">
                  <c:v>45327</c:v>
                </c:pt>
                <c:pt idx="23">
                  <c:v>45341</c:v>
                </c:pt>
                <c:pt idx="24">
                  <c:v>45348</c:v>
                </c:pt>
                <c:pt idx="25">
                  <c:v>45355</c:v>
                </c:pt>
                <c:pt idx="26">
                  <c:v>45362</c:v>
                </c:pt>
                <c:pt idx="27">
                  <c:v>45369</c:v>
                </c:pt>
                <c:pt idx="28">
                  <c:v>45376</c:v>
                </c:pt>
                <c:pt idx="29">
                  <c:v>45383</c:v>
                </c:pt>
                <c:pt idx="30">
                  <c:v>45390</c:v>
                </c:pt>
                <c:pt idx="31">
                  <c:v>45397</c:v>
                </c:pt>
                <c:pt idx="32">
                  <c:v>45404</c:v>
                </c:pt>
                <c:pt idx="33">
                  <c:v>45411</c:v>
                </c:pt>
                <c:pt idx="34">
                  <c:v>45418</c:v>
                </c:pt>
                <c:pt idx="35">
                  <c:v>45425</c:v>
                </c:pt>
                <c:pt idx="36">
                  <c:v>45432</c:v>
                </c:pt>
                <c:pt idx="37">
                  <c:v>45439</c:v>
                </c:pt>
                <c:pt idx="38">
                  <c:v>45446</c:v>
                </c:pt>
                <c:pt idx="39">
                  <c:v>45460</c:v>
                </c:pt>
                <c:pt idx="40">
                  <c:v>45467</c:v>
                </c:pt>
                <c:pt idx="41">
                  <c:v>45474</c:v>
                </c:pt>
              </c:numCache>
            </c:numRef>
          </c:cat>
          <c:val>
            <c:numRef>
              <c:f>Sheet2!$K$2:$K$206</c:f>
              <c:numCache>
                <c:formatCode>General</c:formatCode>
                <c:ptCount val="42"/>
                <c:pt idx="0">
                  <c:v>958.8</c:v>
                </c:pt>
                <c:pt idx="1">
                  <c:v>915.6</c:v>
                </c:pt>
                <c:pt idx="2">
                  <c:v>938.7</c:v>
                </c:pt>
                <c:pt idx="3">
                  <c:v>973.8</c:v>
                </c:pt>
                <c:pt idx="4">
                  <c:v>954.5</c:v>
                </c:pt>
                <c:pt idx="5">
                  <c:v>895.8</c:v>
                </c:pt>
                <c:pt idx="6">
                  <c:v>768.8</c:v>
                </c:pt>
                <c:pt idx="7">
                  <c:v>804</c:v>
                </c:pt>
                <c:pt idx="8">
                  <c:v>786.6</c:v>
                </c:pt>
                <c:pt idx="9">
                  <c:v>817.3</c:v>
                </c:pt>
                <c:pt idx="10">
                  <c:v>788.2</c:v>
                </c:pt>
                <c:pt idx="11">
                  <c:v>765.5</c:v>
                </c:pt>
                <c:pt idx="12">
                  <c:v>781.5</c:v>
                </c:pt>
                <c:pt idx="13">
                  <c:v>794.4</c:v>
                </c:pt>
                <c:pt idx="14">
                  <c:v>925.9</c:v>
                </c:pt>
                <c:pt idx="15">
                  <c:v>987.3</c:v>
                </c:pt>
                <c:pt idx="16">
                  <c:v>1060.8</c:v>
                </c:pt>
                <c:pt idx="17">
                  <c:v>1115.0999999999999</c:v>
                </c:pt>
                <c:pt idx="18">
                  <c:v>2000</c:v>
                </c:pt>
                <c:pt idx="19">
                  <c:v>1871.8</c:v>
                </c:pt>
                <c:pt idx="20">
                  <c:v>1765</c:v>
                </c:pt>
                <c:pt idx="21">
                  <c:v>1658</c:v>
                </c:pt>
                <c:pt idx="22">
                  <c:v>1526.4</c:v>
                </c:pt>
                <c:pt idx="23">
                  <c:v>1754</c:v>
                </c:pt>
                <c:pt idx="24">
                  <c:v>1678.2</c:v>
                </c:pt>
                <c:pt idx="25">
                  <c:v>1531.5</c:v>
                </c:pt>
                <c:pt idx="26">
                  <c:v>1484.9</c:v>
                </c:pt>
                <c:pt idx="27">
                  <c:v>1533</c:v>
                </c:pt>
                <c:pt idx="28">
                  <c:v>1922.9</c:v>
                </c:pt>
                <c:pt idx="29">
                  <c:v>1875.3</c:v>
                </c:pt>
                <c:pt idx="30">
                  <c:v>1952.6</c:v>
                </c:pt>
                <c:pt idx="31">
                  <c:v>2287</c:v>
                </c:pt>
                <c:pt idx="32">
                  <c:v>2573.1</c:v>
                </c:pt>
                <c:pt idx="33">
                  <c:v>2784.3</c:v>
                </c:pt>
                <c:pt idx="34">
                  <c:v>3100.9</c:v>
                </c:pt>
                <c:pt idx="35">
                  <c:v>4008.9</c:v>
                </c:pt>
                <c:pt idx="36">
                  <c:v>3976</c:v>
                </c:pt>
                <c:pt idx="37">
                  <c:v>4209</c:v>
                </c:pt>
                <c:pt idx="38">
                  <c:v>4187.8999999999996</c:v>
                </c:pt>
                <c:pt idx="39">
                  <c:v>4439</c:v>
                </c:pt>
                <c:pt idx="40">
                  <c:v>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E-42CB-9B9D-E75BF042F310}"/>
            </c:ext>
          </c:extLst>
        </c:ser>
        <c:ser>
          <c:idx val="3"/>
          <c:order val="3"/>
          <c:tx>
            <c:strRef>
              <c:f>Sheet2!$L$1</c:f>
              <c:strCache>
                <c:ptCount val="1"/>
                <c:pt idx="0">
                  <c:v>EC2408</c:v>
                </c:pt>
              </c:strCache>
            </c:strRef>
          </c:tx>
          <c:spPr>
            <a:ln w="28575">
              <a:solidFill>
                <a:sysClr val="window" lastClr="FFFFFF">
                  <a:lumMod val="85000"/>
                </a:sysClr>
              </a:solidFill>
            </a:ln>
          </c:spPr>
          <c:marker>
            <c:symbol val="none"/>
          </c:marker>
          <c:cat>
            <c:numRef>
              <c:f>Sheet2!$H$2:$H$206</c:f>
              <c:numCache>
                <c:formatCode>m/d/yyyy</c:formatCode>
                <c:ptCount val="42"/>
                <c:pt idx="0">
                  <c:v>45159</c:v>
                </c:pt>
                <c:pt idx="1">
                  <c:v>45166</c:v>
                </c:pt>
                <c:pt idx="2">
                  <c:v>45173</c:v>
                </c:pt>
                <c:pt idx="3">
                  <c:v>45180</c:v>
                </c:pt>
                <c:pt idx="4">
                  <c:v>45187</c:v>
                </c:pt>
                <c:pt idx="5">
                  <c:v>45194</c:v>
                </c:pt>
                <c:pt idx="6">
                  <c:v>45208</c:v>
                </c:pt>
                <c:pt idx="7">
                  <c:v>45215</c:v>
                </c:pt>
                <c:pt idx="8">
                  <c:v>45222</c:v>
                </c:pt>
                <c:pt idx="9">
                  <c:v>45229</c:v>
                </c:pt>
                <c:pt idx="10">
                  <c:v>45236</c:v>
                </c:pt>
                <c:pt idx="11">
                  <c:v>45243</c:v>
                </c:pt>
                <c:pt idx="12">
                  <c:v>45250</c:v>
                </c:pt>
                <c:pt idx="13">
                  <c:v>45257</c:v>
                </c:pt>
                <c:pt idx="14">
                  <c:v>45264</c:v>
                </c:pt>
                <c:pt idx="15">
                  <c:v>45271</c:v>
                </c:pt>
                <c:pt idx="16">
                  <c:v>45278</c:v>
                </c:pt>
                <c:pt idx="17">
                  <c:v>45285</c:v>
                </c:pt>
                <c:pt idx="18">
                  <c:v>45299</c:v>
                </c:pt>
                <c:pt idx="19">
                  <c:v>45306</c:v>
                </c:pt>
                <c:pt idx="20">
                  <c:v>45313</c:v>
                </c:pt>
                <c:pt idx="21">
                  <c:v>45320</c:v>
                </c:pt>
                <c:pt idx="22">
                  <c:v>45327</c:v>
                </c:pt>
                <c:pt idx="23">
                  <c:v>45341</c:v>
                </c:pt>
                <c:pt idx="24">
                  <c:v>45348</c:v>
                </c:pt>
                <c:pt idx="25">
                  <c:v>45355</c:v>
                </c:pt>
                <c:pt idx="26">
                  <c:v>45362</c:v>
                </c:pt>
                <c:pt idx="27">
                  <c:v>45369</c:v>
                </c:pt>
                <c:pt idx="28">
                  <c:v>45376</c:v>
                </c:pt>
                <c:pt idx="29">
                  <c:v>45383</c:v>
                </c:pt>
                <c:pt idx="30">
                  <c:v>45390</c:v>
                </c:pt>
                <c:pt idx="31">
                  <c:v>45397</c:v>
                </c:pt>
                <c:pt idx="32">
                  <c:v>45404</c:v>
                </c:pt>
                <c:pt idx="33">
                  <c:v>45411</c:v>
                </c:pt>
                <c:pt idx="34">
                  <c:v>45418</c:v>
                </c:pt>
                <c:pt idx="35">
                  <c:v>45425</c:v>
                </c:pt>
                <c:pt idx="36">
                  <c:v>45432</c:v>
                </c:pt>
                <c:pt idx="37">
                  <c:v>45439</c:v>
                </c:pt>
                <c:pt idx="38">
                  <c:v>45446</c:v>
                </c:pt>
                <c:pt idx="39">
                  <c:v>45460</c:v>
                </c:pt>
                <c:pt idx="40">
                  <c:v>45467</c:v>
                </c:pt>
                <c:pt idx="41">
                  <c:v>45474</c:v>
                </c:pt>
              </c:numCache>
            </c:numRef>
          </c:cat>
          <c:val>
            <c:numRef>
              <c:f>Sheet2!$L$2:$L$206</c:f>
              <c:numCache>
                <c:formatCode>General</c:formatCode>
                <c:ptCount val="42"/>
                <c:pt idx="0">
                  <c:v>1017.3</c:v>
                </c:pt>
                <c:pt idx="1">
                  <c:v>983</c:v>
                </c:pt>
                <c:pt idx="2">
                  <c:v>995.9</c:v>
                </c:pt>
                <c:pt idx="3">
                  <c:v>1038.3</c:v>
                </c:pt>
                <c:pt idx="4">
                  <c:v>1009</c:v>
                </c:pt>
                <c:pt idx="5">
                  <c:v>958.6</c:v>
                </c:pt>
                <c:pt idx="6">
                  <c:v>858.1</c:v>
                </c:pt>
                <c:pt idx="7">
                  <c:v>880</c:v>
                </c:pt>
                <c:pt idx="8">
                  <c:v>865.8</c:v>
                </c:pt>
                <c:pt idx="9">
                  <c:v>896.5</c:v>
                </c:pt>
                <c:pt idx="10">
                  <c:v>869.4</c:v>
                </c:pt>
                <c:pt idx="11">
                  <c:v>852.9</c:v>
                </c:pt>
                <c:pt idx="12">
                  <c:v>877.2</c:v>
                </c:pt>
                <c:pt idx="13">
                  <c:v>889.6</c:v>
                </c:pt>
                <c:pt idx="14">
                  <c:v>1019.6</c:v>
                </c:pt>
                <c:pt idx="15">
                  <c:v>1048.3</c:v>
                </c:pt>
                <c:pt idx="16">
                  <c:v>1133.3</c:v>
                </c:pt>
                <c:pt idx="17">
                  <c:v>1026.5999999999999</c:v>
                </c:pt>
                <c:pt idx="18">
                  <c:v>1594.3</c:v>
                </c:pt>
                <c:pt idx="19">
                  <c:v>1725</c:v>
                </c:pt>
                <c:pt idx="20">
                  <c:v>1625</c:v>
                </c:pt>
                <c:pt idx="21">
                  <c:v>1547.6</c:v>
                </c:pt>
                <c:pt idx="22">
                  <c:v>1420</c:v>
                </c:pt>
                <c:pt idx="23">
                  <c:v>1488.8</c:v>
                </c:pt>
                <c:pt idx="24">
                  <c:v>1401</c:v>
                </c:pt>
                <c:pt idx="25">
                  <c:v>1340</c:v>
                </c:pt>
                <c:pt idx="26">
                  <c:v>1348</c:v>
                </c:pt>
                <c:pt idx="27">
                  <c:v>1414.7</c:v>
                </c:pt>
                <c:pt idx="28">
                  <c:v>1570.2</c:v>
                </c:pt>
                <c:pt idx="29">
                  <c:v>1814.7</c:v>
                </c:pt>
                <c:pt idx="30">
                  <c:v>1832</c:v>
                </c:pt>
                <c:pt idx="31">
                  <c:v>2164.9</c:v>
                </c:pt>
                <c:pt idx="32">
                  <c:v>2568.1</c:v>
                </c:pt>
                <c:pt idx="33">
                  <c:v>2781.1</c:v>
                </c:pt>
                <c:pt idx="34">
                  <c:v>2800</c:v>
                </c:pt>
                <c:pt idx="35">
                  <c:v>3795.7</c:v>
                </c:pt>
                <c:pt idx="36">
                  <c:v>4288.8999999999996</c:v>
                </c:pt>
                <c:pt idx="37">
                  <c:v>4193.3999999999996</c:v>
                </c:pt>
                <c:pt idx="38">
                  <c:v>4614.8999999999996</c:v>
                </c:pt>
                <c:pt idx="39">
                  <c:v>5028</c:v>
                </c:pt>
                <c:pt idx="40">
                  <c:v>5294.9</c:v>
                </c:pt>
                <c:pt idx="41">
                  <c:v>5575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6E-42CB-9B9D-E75BF042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4765136"/>
        <c:axId val="-2134759696"/>
      </c:lineChart>
      <c:dateAx>
        <c:axId val="-2134765136"/>
        <c:scaling>
          <c:orientation val="minMax"/>
          <c:max val="45444"/>
          <c:min val="45281"/>
        </c:scaling>
        <c:delete val="0"/>
        <c:axPos val="b"/>
        <c:numFmt formatCode="yyyy/mm/dd" sourceLinked="0"/>
        <c:majorTickMark val="out"/>
        <c:minorTickMark val="none"/>
        <c:tickLblPos val="nextTo"/>
        <c:spPr>
          <a:noFill/>
          <a:ln w="6350">
            <a:solidFill>
              <a:srgbClr val="000000"/>
            </a:solidFill>
          </a:ln>
        </c:spPr>
        <c:txPr>
          <a:bodyPr rot="-5400000" vert="horz"/>
          <a:lstStyle/>
          <a:p>
            <a:pPr>
              <a:defRPr sz="1000"/>
            </a:pPr>
            <a:endParaRPr lang="zh-CN"/>
          </a:p>
        </c:txPr>
        <c:crossAx val="-2134759696"/>
        <c:crosses val="autoZero"/>
        <c:auto val="1"/>
        <c:lblOffset val="100"/>
        <c:baseTimeUnit val="days"/>
        <c:majorUnit val="14"/>
        <c:majorTimeUnit val="days"/>
      </c:dateAx>
      <c:valAx>
        <c:axId val="-2134759696"/>
        <c:scaling>
          <c:orientation val="minMax"/>
          <c:max val="4000"/>
          <c:min val="1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6350">
            <a:solidFill>
              <a:srgbClr val="000000"/>
            </a:solidFill>
          </a:ln>
        </c:spPr>
        <c:crossAx val="-213476513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867891513561063E-5"/>
          <c:y val="0.92032443861183999"/>
          <c:w val="0.9999431321084864"/>
          <c:h val="7.9675561388159816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43278</xdr:colOff>
      <xdr:row>218</xdr:row>
      <xdr:rowOff>109133</xdr:rowOff>
    </xdr:from>
    <xdr:to>
      <xdr:col>13</xdr:col>
      <xdr:colOff>564444</xdr:colOff>
      <xdr:row>232</xdr:row>
      <xdr:rowOff>41393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880E89B-94FD-F33A-4A4C-CC3BC718C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20225</xdr:colOff>
      <xdr:row>233</xdr:row>
      <xdr:rowOff>7527</xdr:rowOff>
    </xdr:from>
    <xdr:to>
      <xdr:col>13</xdr:col>
      <xdr:colOff>597370</xdr:colOff>
      <xdr:row>246</xdr:row>
      <xdr:rowOff>118527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0D4D1E-6B3B-42C0-9C1A-FF7A47329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72571</xdr:colOff>
      <xdr:row>1</xdr:row>
      <xdr:rowOff>46567</xdr:rowOff>
    </xdr:from>
    <xdr:ext cx="4997514" cy="2880000"/>
    <xdr:pic>
      <xdr:nvPicPr>
        <xdr:cNvPr id="2" name="图片 1">
          <a:extLst>
            <a:ext uri="{FF2B5EF4-FFF2-40B4-BE49-F238E27FC236}">
              <a16:creationId xmlns:a16="http://schemas.microsoft.com/office/drawing/2014/main" id="{14926543-A0C9-49D2-B229-8EE1461B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6838" y="207434"/>
          <a:ext cx="4997514" cy="2880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125791</xdr:rowOff>
    </xdr:from>
    <xdr:ext cx="7632097" cy="2838875"/>
    <xdr:pic>
      <xdr:nvPicPr>
        <xdr:cNvPr id="3" name="图片 2">
          <a:extLst>
            <a:ext uri="{FF2B5EF4-FFF2-40B4-BE49-F238E27FC236}">
              <a16:creationId xmlns:a16="http://schemas.microsoft.com/office/drawing/2014/main" id="{1A9F0C0C-B7DC-48F1-B2B0-90B4B7517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3143" y="3107267"/>
          <a:ext cx="7632097" cy="28388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455082</xdr:colOff>
      <xdr:row>190</xdr:row>
      <xdr:rowOff>59266</xdr:rowOff>
    </xdr:from>
    <xdr:to>
      <xdr:col>13</xdr:col>
      <xdr:colOff>190499</xdr:colOff>
      <xdr:row>210</xdr:row>
      <xdr:rowOff>148166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E7286F-5911-4980-934D-55E9DBF67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192</xdr:row>
      <xdr:rowOff>122767</xdr:rowOff>
    </xdr:from>
    <xdr:to>
      <xdr:col>10</xdr:col>
      <xdr:colOff>194733</xdr:colOff>
      <xdr:row>204</xdr:row>
      <xdr:rowOff>76200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9792634-9DB7-499C-8127-A77C7E3123CC}"/>
            </a:ext>
          </a:extLst>
        </xdr:cNvPr>
        <xdr:cNvSpPr/>
      </xdr:nvSpPr>
      <xdr:spPr>
        <a:xfrm>
          <a:off x="4669367" y="31009167"/>
          <a:ext cx="2087033" cy="1883833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tabSelected="1" zoomScale="90" zoomScaleNormal="90" workbookViewId="0">
      <pane xSplit="1" ySplit="1" topLeftCell="B219" activePane="bottomRight" state="frozen"/>
      <selection pane="topRight" activeCell="B1" sqref="B1"/>
      <selection pane="bottomLeft" activeCell="A2" sqref="A2"/>
      <selection pane="bottomRight" activeCell="A140" sqref="A140:A243"/>
    </sheetView>
  </sheetViews>
  <sheetFormatPr defaultRowHeight="14" x14ac:dyDescent="0.45"/>
  <cols>
    <col min="1" max="1" width="10.52734375" style="12" bestFit="1" customWidth="1"/>
    <col min="2" max="2" width="12.703125" style="12" customWidth="1"/>
    <col min="3" max="3" width="6.46875" style="12" bestFit="1" customWidth="1"/>
    <col min="4" max="4" width="8.9375" style="25"/>
    <col min="5" max="5" width="12.87890625" style="12" customWidth="1"/>
    <col min="6" max="16384" width="8.9375" style="12"/>
  </cols>
  <sheetData>
    <row r="1" spans="1:7" s="20" customFormat="1" ht="28" x14ac:dyDescent="0.45">
      <c r="A1" s="21"/>
      <c r="B1" s="27" t="s">
        <v>7</v>
      </c>
      <c r="C1" s="21" t="s">
        <v>6</v>
      </c>
      <c r="D1" s="24" t="s">
        <v>9</v>
      </c>
      <c r="E1" s="22" t="s">
        <v>8</v>
      </c>
      <c r="F1" s="21" t="s">
        <v>6</v>
      </c>
      <c r="G1" s="21" t="s">
        <v>9</v>
      </c>
    </row>
    <row r="2" spans="1:7" x14ac:dyDescent="0.45">
      <c r="A2" s="13">
        <v>44046</v>
      </c>
      <c r="B2" s="28">
        <v>1126.6199999999999</v>
      </c>
    </row>
    <row r="3" spans="1:7" x14ac:dyDescent="0.45">
      <c r="A3" s="13">
        <v>44053</v>
      </c>
      <c r="B3" s="28">
        <v>1141.96</v>
      </c>
      <c r="C3" s="14">
        <f>B3/B2-1</f>
        <v>1.3615948589586591E-2</v>
      </c>
    </row>
    <row r="4" spans="1:7" x14ac:dyDescent="0.45">
      <c r="A4" s="13">
        <v>44060</v>
      </c>
      <c r="B4" s="28">
        <v>1164.17</v>
      </c>
      <c r="C4" s="14">
        <f t="shared" ref="C4:C67" si="0">B4/B3-1</f>
        <v>1.9449017478720743E-2</v>
      </c>
    </row>
    <row r="5" spans="1:7" x14ac:dyDescent="0.45">
      <c r="A5" s="13">
        <v>44067</v>
      </c>
      <c r="B5" s="28">
        <v>1182.75</v>
      </c>
      <c r="C5" s="14">
        <f t="shared" si="0"/>
        <v>1.5959868404098909E-2</v>
      </c>
    </row>
    <row r="6" spans="1:7" x14ac:dyDescent="0.45">
      <c r="A6" s="13">
        <v>44074</v>
      </c>
      <c r="B6" s="28">
        <v>1203.32</v>
      </c>
      <c r="C6" s="14">
        <f t="shared" si="0"/>
        <v>1.7391671950961696E-2</v>
      </c>
    </row>
    <row r="7" spans="1:7" x14ac:dyDescent="0.45">
      <c r="A7" s="13">
        <v>44081</v>
      </c>
      <c r="B7" s="28">
        <v>1285.03</v>
      </c>
      <c r="C7" s="14">
        <f t="shared" si="0"/>
        <v>6.7903799488082894E-2</v>
      </c>
    </row>
    <row r="8" spans="1:7" x14ac:dyDescent="0.45">
      <c r="A8" s="13">
        <v>44088</v>
      </c>
      <c r="B8" s="28">
        <v>1328.53</v>
      </c>
      <c r="C8" s="14">
        <f t="shared" si="0"/>
        <v>3.3851349773935224E-2</v>
      </c>
    </row>
    <row r="9" spans="1:7" x14ac:dyDescent="0.45">
      <c r="A9" s="13">
        <v>44095</v>
      </c>
      <c r="B9" s="28">
        <v>1379.2</v>
      </c>
      <c r="C9" s="14">
        <f t="shared" si="0"/>
        <v>3.8139898986097487E-2</v>
      </c>
    </row>
    <row r="10" spans="1:7" x14ac:dyDescent="0.45">
      <c r="A10" s="13">
        <v>44102</v>
      </c>
      <c r="B10" s="28">
        <v>1397.68</v>
      </c>
      <c r="C10" s="14">
        <f t="shared" si="0"/>
        <v>1.339907192575418E-2</v>
      </c>
    </row>
    <row r="11" spans="1:7" x14ac:dyDescent="0.45">
      <c r="A11" s="13">
        <v>44109</v>
      </c>
      <c r="B11" s="28">
        <v>1485.49</v>
      </c>
      <c r="C11" s="14">
        <f t="shared" si="0"/>
        <v>6.2825539465399816E-2</v>
      </c>
    </row>
    <row r="12" spans="1:7" x14ac:dyDescent="0.45">
      <c r="A12" s="13">
        <v>44116</v>
      </c>
      <c r="B12" s="28">
        <v>1411.22</v>
      </c>
      <c r="C12" s="14">
        <f t="shared" si="0"/>
        <v>-4.9996970696537857E-2</v>
      </c>
    </row>
    <row r="13" spans="1:7" x14ac:dyDescent="0.45">
      <c r="A13" s="13">
        <v>44123</v>
      </c>
      <c r="B13" s="28">
        <v>1434.25</v>
      </c>
      <c r="C13" s="14">
        <f t="shared" si="0"/>
        <v>1.6319213163078716E-2</v>
      </c>
    </row>
    <row r="14" spans="1:7" x14ac:dyDescent="0.45">
      <c r="A14" s="13">
        <v>44130</v>
      </c>
      <c r="B14" s="28">
        <v>1429.15</v>
      </c>
      <c r="C14" s="14">
        <f t="shared" si="0"/>
        <v>-3.555865434896277E-3</v>
      </c>
    </row>
    <row r="15" spans="1:7" x14ac:dyDescent="0.45">
      <c r="A15" s="13">
        <v>44137</v>
      </c>
      <c r="B15" s="28">
        <v>1431.75</v>
      </c>
      <c r="C15" s="14">
        <f t="shared" si="0"/>
        <v>1.8192631984046415E-3</v>
      </c>
    </row>
    <row r="16" spans="1:7" x14ac:dyDescent="0.45">
      <c r="A16" s="13">
        <v>44144</v>
      </c>
      <c r="B16" s="28">
        <v>1456.37</v>
      </c>
      <c r="C16" s="14">
        <f t="shared" si="0"/>
        <v>1.7195739479657579E-2</v>
      </c>
    </row>
    <row r="17" spans="1:3" x14ac:dyDescent="0.45">
      <c r="A17" s="13">
        <v>44151</v>
      </c>
      <c r="B17" s="28">
        <v>1515.03</v>
      </c>
      <c r="C17" s="14">
        <f t="shared" si="0"/>
        <v>4.0278226000260986E-2</v>
      </c>
    </row>
    <row r="18" spans="1:3" x14ac:dyDescent="0.45">
      <c r="A18" s="13">
        <v>44158</v>
      </c>
      <c r="B18" s="28">
        <v>1736.34</v>
      </c>
      <c r="C18" s="14">
        <f t="shared" si="0"/>
        <v>0.1460763153204887</v>
      </c>
    </row>
    <row r="19" spans="1:3" x14ac:dyDescent="0.45">
      <c r="A19" s="13">
        <v>44165</v>
      </c>
      <c r="B19" s="28">
        <v>2165.29</v>
      </c>
      <c r="C19" s="14">
        <f t="shared" si="0"/>
        <v>0.24704262989967396</v>
      </c>
    </row>
    <row r="20" spans="1:3" x14ac:dyDescent="0.45">
      <c r="A20" s="13">
        <v>44172</v>
      </c>
      <c r="B20" s="28">
        <v>2509.2399999999998</v>
      </c>
      <c r="C20" s="14">
        <f t="shared" si="0"/>
        <v>0.15884708283878823</v>
      </c>
    </row>
    <row r="21" spans="1:3" x14ac:dyDescent="0.45">
      <c r="A21" s="13">
        <v>44179</v>
      </c>
      <c r="B21" s="28">
        <v>3093.87</v>
      </c>
      <c r="C21" s="14">
        <f t="shared" si="0"/>
        <v>0.23299086576015049</v>
      </c>
    </row>
    <row r="22" spans="1:3" x14ac:dyDescent="0.45">
      <c r="A22" s="13">
        <v>44186</v>
      </c>
      <c r="B22" s="28">
        <v>3771.99</v>
      </c>
      <c r="C22" s="14">
        <f t="shared" si="0"/>
        <v>0.21918180143315658</v>
      </c>
    </row>
    <row r="23" spans="1:3" x14ac:dyDescent="0.45">
      <c r="A23" s="13">
        <v>44193</v>
      </c>
      <c r="B23" s="28">
        <v>4270.1899999999996</v>
      </c>
      <c r="C23" s="14">
        <f t="shared" si="0"/>
        <v>0.13207882311458929</v>
      </c>
    </row>
    <row r="24" spans="1:3" x14ac:dyDescent="0.45">
      <c r="A24" s="13">
        <v>44200</v>
      </c>
      <c r="B24" s="28">
        <v>4851.3900000000003</v>
      </c>
      <c r="C24" s="14">
        <f t="shared" si="0"/>
        <v>0.13610635592327291</v>
      </c>
    </row>
    <row r="25" spans="1:3" x14ac:dyDescent="0.45">
      <c r="A25" s="13">
        <v>44207</v>
      </c>
      <c r="B25" s="28">
        <v>5863.21</v>
      </c>
      <c r="C25" s="14">
        <f t="shared" si="0"/>
        <v>0.20856290671333366</v>
      </c>
    </row>
    <row r="26" spans="1:3" x14ac:dyDescent="0.45">
      <c r="A26" s="13">
        <v>44214</v>
      </c>
      <c r="B26" s="28">
        <v>5872.07</v>
      </c>
      <c r="C26" s="14">
        <f t="shared" si="0"/>
        <v>1.5111176301036977E-3</v>
      </c>
    </row>
    <row r="27" spans="1:3" x14ac:dyDescent="0.45">
      <c r="A27" s="13">
        <v>44221</v>
      </c>
      <c r="B27" s="28">
        <v>6177.15</v>
      </c>
      <c r="C27" s="14">
        <f t="shared" si="0"/>
        <v>5.1954421524266658E-2</v>
      </c>
    </row>
    <row r="28" spans="1:3" x14ac:dyDescent="0.45">
      <c r="A28" s="13">
        <v>44228</v>
      </c>
      <c r="B28" s="28">
        <v>5947.64</v>
      </c>
      <c r="C28" s="14">
        <f t="shared" si="0"/>
        <v>-3.715467489052382E-2</v>
      </c>
    </row>
    <row r="29" spans="1:3" x14ac:dyDescent="0.45">
      <c r="A29" s="13">
        <v>44235</v>
      </c>
      <c r="B29" s="28">
        <v>5920.05</v>
      </c>
      <c r="C29" s="14">
        <f t="shared" si="0"/>
        <v>-4.6388147231507526E-3</v>
      </c>
    </row>
    <row r="30" spans="1:3" x14ac:dyDescent="0.45">
      <c r="A30" s="13">
        <v>44245</v>
      </c>
      <c r="B30" s="28">
        <v>5987.75</v>
      </c>
      <c r="C30" s="14">
        <f t="shared" si="0"/>
        <v>1.1435714225386473E-2</v>
      </c>
    </row>
    <row r="31" spans="1:3" x14ac:dyDescent="0.45">
      <c r="A31" s="13">
        <v>44249</v>
      </c>
      <c r="B31" s="28">
        <v>5879.4</v>
      </c>
      <c r="C31" s="14">
        <f t="shared" si="0"/>
        <v>-1.8095277858962144E-2</v>
      </c>
    </row>
    <row r="32" spans="1:3" x14ac:dyDescent="0.45">
      <c r="A32" s="13">
        <v>44256</v>
      </c>
      <c r="B32" s="28">
        <v>5661.26</v>
      </c>
      <c r="C32" s="14">
        <f t="shared" si="0"/>
        <v>-3.7102425417559481E-2</v>
      </c>
    </row>
    <row r="33" spans="1:3" x14ac:dyDescent="0.45">
      <c r="A33" s="13">
        <v>44263</v>
      </c>
      <c r="B33" s="28">
        <v>5702.17</v>
      </c>
      <c r="C33" s="14">
        <f t="shared" si="0"/>
        <v>7.2263065112712077E-3</v>
      </c>
    </row>
    <row r="34" spans="1:3" x14ac:dyDescent="0.45">
      <c r="A34" s="13">
        <v>44270</v>
      </c>
      <c r="B34" s="28">
        <v>5440.14</v>
      </c>
      <c r="C34" s="14">
        <f t="shared" si="0"/>
        <v>-4.5952681172255483E-2</v>
      </c>
    </row>
    <row r="35" spans="1:3" x14ac:dyDescent="0.45">
      <c r="A35" s="13">
        <v>44277</v>
      </c>
      <c r="B35" s="28">
        <v>5276.42</v>
      </c>
      <c r="C35" s="14">
        <f t="shared" si="0"/>
        <v>-3.0094813736411208E-2</v>
      </c>
    </row>
    <row r="36" spans="1:3" x14ac:dyDescent="0.45">
      <c r="A36" s="13">
        <v>44284</v>
      </c>
      <c r="B36" s="28">
        <v>4969.8</v>
      </c>
      <c r="C36" s="14">
        <f t="shared" si="0"/>
        <v>-5.8111370967436238E-2</v>
      </c>
    </row>
    <row r="37" spans="1:3" x14ac:dyDescent="0.45">
      <c r="A37" s="13">
        <v>44291</v>
      </c>
      <c r="B37" s="28">
        <v>5202.1899999999996</v>
      </c>
      <c r="C37" s="14">
        <f t="shared" si="0"/>
        <v>4.6760433015412994E-2</v>
      </c>
    </row>
    <row r="38" spans="1:3" x14ac:dyDescent="0.45">
      <c r="A38" s="13">
        <v>44298</v>
      </c>
      <c r="B38" s="28">
        <v>5001.83</v>
      </c>
      <c r="C38" s="14">
        <f t="shared" si="0"/>
        <v>-3.8514548680459559E-2</v>
      </c>
    </row>
    <row r="39" spans="1:3" x14ac:dyDescent="0.45">
      <c r="A39" s="13">
        <v>44305</v>
      </c>
      <c r="B39" s="28">
        <v>5118.6400000000003</v>
      </c>
      <c r="C39" s="14">
        <f t="shared" si="0"/>
        <v>2.3353452636335259E-2</v>
      </c>
    </row>
    <row r="40" spans="1:3" x14ac:dyDescent="0.45">
      <c r="A40" s="13">
        <v>44312</v>
      </c>
      <c r="B40" s="28">
        <v>5457.5</v>
      </c>
      <c r="C40" s="14">
        <f t="shared" si="0"/>
        <v>6.6201178438022534E-2</v>
      </c>
    </row>
    <row r="41" spans="1:3" x14ac:dyDescent="0.45">
      <c r="A41" s="13">
        <v>44319</v>
      </c>
      <c r="B41" s="28">
        <v>5817.28</v>
      </c>
      <c r="C41" s="14">
        <f t="shared" si="0"/>
        <v>6.592395785616123E-2</v>
      </c>
    </row>
    <row r="42" spans="1:3" x14ac:dyDescent="0.45">
      <c r="A42" s="13">
        <v>44326</v>
      </c>
      <c r="B42" s="28">
        <v>6228.12</v>
      </c>
      <c r="C42" s="14">
        <f t="shared" si="0"/>
        <v>7.0624071731118399E-2</v>
      </c>
    </row>
    <row r="43" spans="1:3" x14ac:dyDescent="0.45">
      <c r="A43" s="13">
        <v>44333</v>
      </c>
      <c r="B43" s="28">
        <v>6490</v>
      </c>
      <c r="C43" s="14">
        <f t="shared" si="0"/>
        <v>4.2048001644155786E-2</v>
      </c>
    </row>
    <row r="44" spans="1:3" x14ac:dyDescent="0.45">
      <c r="A44" s="13">
        <v>44340</v>
      </c>
      <c r="B44" s="28">
        <v>6776.45</v>
      </c>
      <c r="C44" s="14">
        <f t="shared" si="0"/>
        <v>4.4137134052388172E-2</v>
      </c>
    </row>
    <row r="45" spans="1:3" x14ac:dyDescent="0.45">
      <c r="A45" s="13">
        <v>44347</v>
      </c>
      <c r="B45" s="28">
        <v>7240.02</v>
      </c>
      <c r="C45" s="14">
        <f t="shared" si="0"/>
        <v>6.8408975200879629E-2</v>
      </c>
    </row>
    <row r="46" spans="1:3" x14ac:dyDescent="0.45">
      <c r="A46" s="13">
        <v>44354</v>
      </c>
      <c r="B46" s="28">
        <v>7472.27</v>
      </c>
      <c r="C46" s="14">
        <f t="shared" si="0"/>
        <v>3.2078640666738378E-2</v>
      </c>
    </row>
    <row r="47" spans="1:3" x14ac:dyDescent="0.45">
      <c r="A47" s="13">
        <v>44361</v>
      </c>
      <c r="B47" s="28">
        <v>7671.69</v>
      </c>
      <c r="C47" s="14">
        <f t="shared" si="0"/>
        <v>2.6688007794150703E-2</v>
      </c>
    </row>
    <row r="48" spans="1:3" x14ac:dyDescent="0.45">
      <c r="A48" s="13">
        <v>44368</v>
      </c>
      <c r="B48" s="28">
        <v>7892.17</v>
      </c>
      <c r="C48" s="14">
        <f t="shared" si="0"/>
        <v>2.8739430295019908E-2</v>
      </c>
    </row>
    <row r="49" spans="1:3" x14ac:dyDescent="0.45">
      <c r="A49" s="13">
        <v>44375</v>
      </c>
      <c r="B49" s="28">
        <v>8378.26</v>
      </c>
      <c r="C49" s="14">
        <f t="shared" si="0"/>
        <v>6.1591425425453261E-2</v>
      </c>
    </row>
    <row r="50" spans="1:3" x14ac:dyDescent="0.45">
      <c r="A50" s="13">
        <v>44382</v>
      </c>
      <c r="B50" s="28">
        <v>8374.6200000000008</v>
      </c>
      <c r="C50" s="14">
        <f t="shared" si="0"/>
        <v>-4.3445775137074261E-4</v>
      </c>
    </row>
    <row r="51" spans="1:3" x14ac:dyDescent="0.45">
      <c r="A51" s="13">
        <v>44389</v>
      </c>
      <c r="B51" s="28">
        <v>8637.66</v>
      </c>
      <c r="C51" s="14">
        <f t="shared" si="0"/>
        <v>3.1409186327260086E-2</v>
      </c>
    </row>
    <row r="52" spans="1:3" x14ac:dyDescent="0.45">
      <c r="A52" s="13">
        <v>44396</v>
      </c>
      <c r="B52" s="28">
        <v>9129.08</v>
      </c>
      <c r="C52" s="14">
        <f t="shared" si="0"/>
        <v>5.6892723260697942E-2</v>
      </c>
    </row>
    <row r="53" spans="1:3" x14ac:dyDescent="0.45">
      <c r="A53" s="13">
        <v>44403</v>
      </c>
      <c r="B53" s="28">
        <v>8610.92</v>
      </c>
      <c r="C53" s="14">
        <f t="shared" si="0"/>
        <v>-5.6759279138752228E-2</v>
      </c>
    </row>
    <row r="54" spans="1:3" x14ac:dyDescent="0.45">
      <c r="A54" s="13">
        <v>44410</v>
      </c>
      <c r="B54" s="28">
        <v>9715.75</v>
      </c>
      <c r="C54" s="14">
        <f t="shared" si="0"/>
        <v>0.12830568626813399</v>
      </c>
    </row>
    <row r="55" spans="1:3" x14ac:dyDescent="0.45">
      <c r="A55" s="13">
        <v>44417</v>
      </c>
      <c r="B55" s="28">
        <v>9511.51</v>
      </c>
      <c r="C55" s="14">
        <f t="shared" si="0"/>
        <v>-2.1021537194761075E-2</v>
      </c>
    </row>
    <row r="56" spans="1:3" x14ac:dyDescent="0.45">
      <c r="A56" s="13">
        <v>44424</v>
      </c>
      <c r="B56" s="28">
        <v>9727.4500000000007</v>
      </c>
      <c r="C56" s="14">
        <f t="shared" si="0"/>
        <v>2.2703019814940051E-2</v>
      </c>
    </row>
    <row r="57" spans="1:3" x14ac:dyDescent="0.45">
      <c r="A57" s="13">
        <v>44431</v>
      </c>
      <c r="B57" s="28">
        <v>9741.8799999999992</v>
      </c>
      <c r="C57" s="14">
        <f t="shared" si="0"/>
        <v>1.4834309094364784E-3</v>
      </c>
    </row>
    <row r="58" spans="1:3" x14ac:dyDescent="0.45">
      <c r="A58" s="13">
        <v>44438</v>
      </c>
      <c r="B58" s="28">
        <v>9949.52</v>
      </c>
      <c r="C58" s="14">
        <f t="shared" si="0"/>
        <v>2.1314161127010456E-2</v>
      </c>
    </row>
    <row r="59" spans="1:3" x14ac:dyDescent="0.45">
      <c r="A59" s="13">
        <v>44445</v>
      </c>
      <c r="B59" s="28">
        <v>9856.64</v>
      </c>
      <c r="C59" s="14">
        <f t="shared" si="0"/>
        <v>-9.3351237044602131E-3</v>
      </c>
    </row>
    <row r="60" spans="1:3" x14ac:dyDescent="0.45">
      <c r="A60" s="13">
        <v>44452</v>
      </c>
      <c r="B60" s="28">
        <v>9965.39</v>
      </c>
      <c r="C60" s="14">
        <f t="shared" si="0"/>
        <v>1.1033171547302212E-2</v>
      </c>
    </row>
    <row r="61" spans="1:3" x14ac:dyDescent="0.45">
      <c r="A61" s="13">
        <v>44459</v>
      </c>
      <c r="B61" s="28">
        <v>10373.450000000001</v>
      </c>
      <c r="C61" s="14">
        <f t="shared" si="0"/>
        <v>4.0947720059124837E-2</v>
      </c>
    </row>
    <row r="62" spans="1:3" x14ac:dyDescent="0.45">
      <c r="A62" s="13">
        <v>44466</v>
      </c>
      <c r="B62" s="28">
        <v>9682.57</v>
      </c>
      <c r="C62" s="14">
        <f t="shared" si="0"/>
        <v>-6.6600793371539901E-2</v>
      </c>
    </row>
    <row r="63" spans="1:3" x14ac:dyDescent="0.45">
      <c r="A63" s="13">
        <v>44473</v>
      </c>
      <c r="B63" s="28">
        <v>10189.700000000001</v>
      </c>
      <c r="C63" s="14">
        <f t="shared" si="0"/>
        <v>5.2375557315877952E-2</v>
      </c>
    </row>
    <row r="64" spans="1:3" x14ac:dyDescent="0.45">
      <c r="A64" s="13">
        <v>44480</v>
      </c>
      <c r="B64" s="28">
        <v>9762.7000000000007</v>
      </c>
      <c r="C64" s="14">
        <f t="shared" si="0"/>
        <v>-4.1905060992963428E-2</v>
      </c>
    </row>
    <row r="65" spans="1:3" x14ac:dyDescent="0.45">
      <c r="A65" s="13">
        <v>44487</v>
      </c>
      <c r="B65" s="28">
        <v>10151.870000000001</v>
      </c>
      <c r="C65" s="14">
        <f t="shared" si="0"/>
        <v>3.9862947750110012E-2</v>
      </c>
    </row>
    <row r="66" spans="1:3" x14ac:dyDescent="0.45">
      <c r="A66" s="13">
        <v>44494</v>
      </c>
      <c r="B66" s="28">
        <v>9956.52</v>
      </c>
      <c r="C66" s="14">
        <f t="shared" si="0"/>
        <v>-1.9242760200830045E-2</v>
      </c>
    </row>
    <row r="67" spans="1:3" x14ac:dyDescent="0.45">
      <c r="A67" s="13">
        <v>44501</v>
      </c>
      <c r="B67" s="28">
        <v>10066.790000000001</v>
      </c>
      <c r="C67" s="14">
        <f t="shared" si="0"/>
        <v>1.1075154772952844E-2</v>
      </c>
    </row>
    <row r="68" spans="1:3" x14ac:dyDescent="0.45">
      <c r="A68" s="13">
        <v>44508</v>
      </c>
      <c r="B68" s="28">
        <v>9922.2900000000009</v>
      </c>
      <c r="C68" s="14">
        <f t="shared" ref="C68:C131" si="1">B68/B67-1</f>
        <v>-1.435412877391895E-2</v>
      </c>
    </row>
    <row r="69" spans="1:3" x14ac:dyDescent="0.45">
      <c r="A69" s="13">
        <v>44515</v>
      </c>
      <c r="B69" s="28">
        <v>9858.69</v>
      </c>
      <c r="C69" s="14">
        <f t="shared" si="1"/>
        <v>-6.4098106384715692E-3</v>
      </c>
    </row>
    <row r="70" spans="1:3" x14ac:dyDescent="0.45">
      <c r="A70" s="13">
        <v>44522</v>
      </c>
      <c r="B70" s="28">
        <v>9456.23</v>
      </c>
      <c r="C70" s="14">
        <f t="shared" si="1"/>
        <v>-4.0822867946958552E-2</v>
      </c>
    </row>
    <row r="71" spans="1:3" x14ac:dyDescent="0.45">
      <c r="A71" s="13">
        <v>44529</v>
      </c>
      <c r="B71" s="28">
        <v>9506.93</v>
      </c>
      <c r="C71" s="14">
        <f t="shared" si="1"/>
        <v>5.361544717080724E-3</v>
      </c>
    </row>
    <row r="72" spans="1:3" x14ac:dyDescent="0.45">
      <c r="A72" s="13">
        <v>44536</v>
      </c>
      <c r="B72" s="28">
        <v>9406.02</v>
      </c>
      <c r="C72" s="14">
        <f t="shared" si="1"/>
        <v>-1.0614362365137797E-2</v>
      </c>
    </row>
    <row r="73" spans="1:3" x14ac:dyDescent="0.45">
      <c r="A73" s="13">
        <v>44543</v>
      </c>
      <c r="B73" s="28">
        <v>9242.91</v>
      </c>
      <c r="C73" s="14">
        <f t="shared" si="1"/>
        <v>-1.7341022026319375E-2</v>
      </c>
    </row>
    <row r="74" spans="1:3" x14ac:dyDescent="0.45">
      <c r="A74" s="13">
        <v>44550</v>
      </c>
      <c r="B74" s="28">
        <v>9512.5400000000009</v>
      </c>
      <c r="C74" s="14">
        <f t="shared" si="1"/>
        <v>2.9171548787124468E-2</v>
      </c>
    </row>
    <row r="75" spans="1:3" x14ac:dyDescent="0.45">
      <c r="A75" s="13">
        <v>44557</v>
      </c>
      <c r="B75" s="28">
        <v>9562.09</v>
      </c>
      <c r="C75" s="14">
        <f t="shared" si="1"/>
        <v>5.2089137075901348E-3</v>
      </c>
    </row>
    <row r="76" spans="1:3" x14ac:dyDescent="0.45">
      <c r="A76" s="13">
        <v>44564</v>
      </c>
      <c r="B76" s="28">
        <v>9003.66</v>
      </c>
      <c r="C76" s="14">
        <f t="shared" si="1"/>
        <v>-5.8400412462129125E-2</v>
      </c>
    </row>
    <row r="77" spans="1:3" x14ac:dyDescent="0.45">
      <c r="A77" s="13">
        <v>44571</v>
      </c>
      <c r="B77" s="28">
        <v>9672.06</v>
      </c>
      <c r="C77" s="14">
        <f t="shared" si="1"/>
        <v>7.4236477165952497E-2</v>
      </c>
    </row>
    <row r="78" spans="1:3" x14ac:dyDescent="0.45">
      <c r="A78" s="13">
        <v>44578</v>
      </c>
      <c r="B78" s="28">
        <v>9734.4</v>
      </c>
      <c r="C78" s="14">
        <f t="shared" si="1"/>
        <v>6.4453694455990362E-3</v>
      </c>
    </row>
    <row r="79" spans="1:3" x14ac:dyDescent="0.45">
      <c r="A79" s="13">
        <v>44585</v>
      </c>
      <c r="B79" s="28">
        <v>10072.17</v>
      </c>
      <c r="C79" s="14">
        <f t="shared" si="1"/>
        <v>3.469859467455616E-2</v>
      </c>
    </row>
    <row r="80" spans="1:3" x14ac:dyDescent="0.45">
      <c r="A80" s="13">
        <v>44592</v>
      </c>
      <c r="B80" s="28">
        <v>9796.6</v>
      </c>
      <c r="C80" s="14">
        <f t="shared" si="1"/>
        <v>-2.7359546155396486E-2</v>
      </c>
    </row>
    <row r="81" spans="1:3" x14ac:dyDescent="0.45">
      <c r="A81" s="13">
        <v>44599</v>
      </c>
      <c r="B81" s="28">
        <v>9713.06</v>
      </c>
      <c r="C81" s="14">
        <f t="shared" si="1"/>
        <v>-8.5274482983893618E-3</v>
      </c>
    </row>
    <row r="82" spans="1:3" x14ac:dyDescent="0.45">
      <c r="A82" s="13">
        <v>44606</v>
      </c>
      <c r="B82" s="28">
        <v>9587.0400000000009</v>
      </c>
      <c r="C82" s="14">
        <f t="shared" si="1"/>
        <v>-1.2974284108200562E-2</v>
      </c>
    </row>
    <row r="83" spans="1:3" x14ac:dyDescent="0.45">
      <c r="A83" s="13">
        <v>44613</v>
      </c>
      <c r="B83" s="28">
        <v>9538.35</v>
      </c>
      <c r="C83" s="14">
        <f t="shared" si="1"/>
        <v>-5.0787312872377921E-3</v>
      </c>
    </row>
    <row r="84" spans="1:3" x14ac:dyDescent="0.45">
      <c r="A84" s="13">
        <v>44620</v>
      </c>
      <c r="B84" s="28">
        <v>9444.6</v>
      </c>
      <c r="C84" s="14">
        <f t="shared" si="1"/>
        <v>-9.8287439651512098E-3</v>
      </c>
    </row>
    <row r="85" spans="1:3" x14ac:dyDescent="0.45">
      <c r="A85" s="13">
        <v>44627</v>
      </c>
      <c r="B85" s="28">
        <v>9466.34</v>
      </c>
      <c r="C85" s="14">
        <f t="shared" si="1"/>
        <v>2.3018444402091998E-3</v>
      </c>
    </row>
    <row r="86" spans="1:3" x14ac:dyDescent="0.45">
      <c r="A86" s="13">
        <v>44634</v>
      </c>
      <c r="B86" s="28">
        <v>9258.7900000000009</v>
      </c>
      <c r="C86" s="14">
        <f t="shared" si="1"/>
        <v>-2.19250523433554E-2</v>
      </c>
    </row>
    <row r="87" spans="1:3" x14ac:dyDescent="0.45">
      <c r="A87" s="13">
        <v>44641</v>
      </c>
      <c r="B87" s="28">
        <v>8639.5</v>
      </c>
      <c r="C87" s="14">
        <f t="shared" si="1"/>
        <v>-6.6886709818453682E-2</v>
      </c>
    </row>
    <row r="88" spans="1:3" x14ac:dyDescent="0.45">
      <c r="A88" s="13">
        <v>44648</v>
      </c>
      <c r="B88" s="28">
        <v>8414.17</v>
      </c>
      <c r="C88" s="14">
        <f t="shared" si="1"/>
        <v>-2.6081370449678842E-2</v>
      </c>
    </row>
    <row r="89" spans="1:3" x14ac:dyDescent="0.45">
      <c r="A89" s="13">
        <v>44655</v>
      </c>
      <c r="B89" s="28">
        <v>7989.1</v>
      </c>
      <c r="C89" s="14">
        <f t="shared" si="1"/>
        <v>-5.0518351780389437E-2</v>
      </c>
    </row>
    <row r="90" spans="1:3" x14ac:dyDescent="0.45">
      <c r="A90" s="13">
        <v>44662</v>
      </c>
      <c r="B90" s="28">
        <v>7846.72</v>
      </c>
      <c r="C90" s="14">
        <f t="shared" si="1"/>
        <v>-1.7821782178217838E-2</v>
      </c>
    </row>
    <row r="91" spans="1:3" x14ac:dyDescent="0.45">
      <c r="A91" s="13">
        <v>44669</v>
      </c>
      <c r="B91" s="28">
        <v>7680.88</v>
      </c>
      <c r="C91" s="14">
        <f t="shared" si="1"/>
        <v>-2.1134945556869678E-2</v>
      </c>
    </row>
    <row r="92" spans="1:3" x14ac:dyDescent="0.45">
      <c r="A92" s="13">
        <v>44676</v>
      </c>
      <c r="B92" s="28">
        <v>7626.98</v>
      </c>
      <c r="C92" s="14">
        <f t="shared" si="1"/>
        <v>-7.0174250867088839E-3</v>
      </c>
    </row>
    <row r="93" spans="1:3" x14ac:dyDescent="0.45">
      <c r="A93" s="13">
        <v>44683</v>
      </c>
      <c r="B93" s="28">
        <v>7410.22</v>
      </c>
      <c r="C93" s="14">
        <f t="shared" si="1"/>
        <v>-2.8420161059816484E-2</v>
      </c>
    </row>
    <row r="94" spans="1:3" x14ac:dyDescent="0.45">
      <c r="A94" s="13">
        <v>44690</v>
      </c>
      <c r="B94" s="28">
        <v>7231.37</v>
      </c>
      <c r="C94" s="14">
        <f t="shared" si="1"/>
        <v>-2.4135585718102925E-2</v>
      </c>
    </row>
    <row r="95" spans="1:3" x14ac:dyDescent="0.45">
      <c r="A95" s="13">
        <v>44697</v>
      </c>
      <c r="B95" s="28">
        <v>6926.18</v>
      </c>
      <c r="C95" s="14">
        <f t="shared" si="1"/>
        <v>-4.2203621167219985E-2</v>
      </c>
    </row>
    <row r="96" spans="1:3" x14ac:dyDescent="0.45">
      <c r="A96" s="13">
        <v>44704</v>
      </c>
      <c r="B96" s="28">
        <v>6967.25</v>
      </c>
      <c r="C96" s="14">
        <f t="shared" si="1"/>
        <v>5.9296755209941043E-3</v>
      </c>
    </row>
    <row r="97" spans="1:3" x14ac:dyDescent="0.45">
      <c r="A97" s="13">
        <v>44711</v>
      </c>
      <c r="B97" s="28">
        <v>7033.02</v>
      </c>
      <c r="C97" s="14">
        <f t="shared" si="1"/>
        <v>9.4398794359324967E-3</v>
      </c>
    </row>
    <row r="98" spans="1:3" x14ac:dyDescent="0.45">
      <c r="A98" s="13">
        <v>44718</v>
      </c>
      <c r="B98" s="28">
        <v>7105.6</v>
      </c>
      <c r="C98" s="14">
        <f t="shared" si="1"/>
        <v>1.0319891028320649E-2</v>
      </c>
    </row>
    <row r="99" spans="1:3" x14ac:dyDescent="0.45">
      <c r="A99" s="13">
        <v>44725</v>
      </c>
      <c r="B99" s="28">
        <v>7129.03</v>
      </c>
      <c r="C99" s="14">
        <f t="shared" si="1"/>
        <v>3.2973992344065284E-3</v>
      </c>
    </row>
    <row r="100" spans="1:3" x14ac:dyDescent="0.45">
      <c r="A100" s="13">
        <v>44732</v>
      </c>
      <c r="B100" s="28">
        <v>7126.98</v>
      </c>
      <c r="C100" s="14">
        <f t="shared" si="1"/>
        <v>-2.8755665216728676E-4</v>
      </c>
    </row>
    <row r="101" spans="1:3" x14ac:dyDescent="0.45">
      <c r="A101" s="13">
        <v>44739</v>
      </c>
      <c r="B101" s="28">
        <v>6993.26</v>
      </c>
      <c r="C101" s="14">
        <f t="shared" si="1"/>
        <v>-1.8762505296773591E-2</v>
      </c>
    </row>
    <row r="102" spans="1:3" x14ac:dyDescent="0.45">
      <c r="A102" s="13">
        <v>44746</v>
      </c>
      <c r="B102" s="28">
        <v>6991.61</v>
      </c>
      <c r="C102" s="14">
        <f t="shared" si="1"/>
        <v>-2.3594146363792312E-4</v>
      </c>
    </row>
    <row r="103" spans="1:3" x14ac:dyDescent="0.45">
      <c r="A103" s="13">
        <v>44753</v>
      </c>
      <c r="B103" s="28">
        <v>6945.82</v>
      </c>
      <c r="C103" s="14">
        <f t="shared" si="1"/>
        <v>-6.5492783493358298E-3</v>
      </c>
    </row>
    <row r="104" spans="1:3" x14ac:dyDescent="0.45">
      <c r="A104" s="13">
        <v>44760</v>
      </c>
      <c r="B104" s="28">
        <v>6875.29</v>
      </c>
      <c r="C104" s="14">
        <f t="shared" si="1"/>
        <v>-1.0154308634545584E-2</v>
      </c>
    </row>
    <row r="105" spans="1:3" x14ac:dyDescent="0.45">
      <c r="A105" s="13">
        <v>44767</v>
      </c>
      <c r="B105" s="28">
        <v>6823.52</v>
      </c>
      <c r="C105" s="14">
        <f t="shared" si="1"/>
        <v>-7.5298641948193801E-3</v>
      </c>
    </row>
    <row r="106" spans="1:3" x14ac:dyDescent="0.45">
      <c r="A106" s="13">
        <v>44774</v>
      </c>
      <c r="B106" s="28">
        <v>6730.6</v>
      </c>
      <c r="C106" s="14">
        <f t="shared" si="1"/>
        <v>-1.3617604989800025E-2</v>
      </c>
    </row>
    <row r="107" spans="1:3" x14ac:dyDescent="0.45">
      <c r="A107" s="13">
        <v>44781</v>
      </c>
      <c r="B107" s="28">
        <v>6483.75</v>
      </c>
      <c r="C107" s="14">
        <f t="shared" si="1"/>
        <v>-3.6675779276736153E-2</v>
      </c>
    </row>
    <row r="108" spans="1:3" x14ac:dyDescent="0.45">
      <c r="A108" s="13">
        <v>44788</v>
      </c>
      <c r="B108" s="28">
        <v>6238.88</v>
      </c>
      <c r="C108" s="14">
        <f t="shared" si="1"/>
        <v>-3.7766724503566551E-2</v>
      </c>
    </row>
    <row r="109" spans="1:3" x14ac:dyDescent="0.45">
      <c r="A109" s="13">
        <v>44795</v>
      </c>
      <c r="B109" s="28">
        <v>6073.69</v>
      </c>
      <c r="C109" s="14">
        <f t="shared" si="1"/>
        <v>-2.6477508783627868E-2</v>
      </c>
    </row>
    <row r="110" spans="1:3" x14ac:dyDescent="0.45">
      <c r="A110" s="13">
        <v>44802</v>
      </c>
      <c r="B110" s="28">
        <v>5799.76</v>
      </c>
      <c r="C110" s="14">
        <f t="shared" si="1"/>
        <v>-4.5101083525830199E-2</v>
      </c>
    </row>
    <row r="111" spans="1:3" x14ac:dyDescent="0.45">
      <c r="A111" s="13">
        <v>44809</v>
      </c>
      <c r="B111" s="28">
        <v>5470.47</v>
      </c>
      <c r="C111" s="14">
        <f t="shared" si="1"/>
        <v>-5.677648730292284E-2</v>
      </c>
    </row>
    <row r="112" spans="1:3" x14ac:dyDescent="0.45">
      <c r="A112" s="13">
        <v>44816</v>
      </c>
      <c r="B112" s="28">
        <v>5028.58</v>
      </c>
      <c r="C112" s="14">
        <f t="shared" si="1"/>
        <v>-8.0777337230621971E-2</v>
      </c>
    </row>
    <row r="113" spans="1:6" x14ac:dyDescent="0.45">
      <c r="A113" s="13">
        <v>44823</v>
      </c>
      <c r="B113" s="28">
        <v>4776.3100000000004</v>
      </c>
      <c r="C113" s="14">
        <f t="shared" si="1"/>
        <v>-5.0167244033106684E-2</v>
      </c>
    </row>
    <row r="114" spans="1:6" x14ac:dyDescent="0.45">
      <c r="A114" s="13">
        <v>44830</v>
      </c>
      <c r="B114" s="28">
        <v>4361.9399999999996</v>
      </c>
      <c r="C114" s="14">
        <f t="shared" si="1"/>
        <v>-8.6755256673038517E-2</v>
      </c>
    </row>
    <row r="115" spans="1:6" x14ac:dyDescent="0.45">
      <c r="A115" s="13">
        <v>44837</v>
      </c>
      <c r="B115" s="28">
        <v>3936.27</v>
      </c>
      <c r="C115" s="14">
        <f t="shared" si="1"/>
        <v>-9.7587312067566212E-2</v>
      </c>
    </row>
    <row r="116" spans="1:6" x14ac:dyDescent="0.45">
      <c r="A116" s="13">
        <v>44844</v>
      </c>
      <c r="B116" s="28">
        <v>3433.54</v>
      </c>
      <c r="C116" s="14">
        <f t="shared" si="1"/>
        <v>-0.12771735678700902</v>
      </c>
    </row>
    <row r="117" spans="1:6" x14ac:dyDescent="0.45">
      <c r="A117" s="13">
        <v>44851</v>
      </c>
      <c r="B117" s="28">
        <v>3111.54</v>
      </c>
      <c r="C117" s="14">
        <f t="shared" si="1"/>
        <v>-9.3780762711370813E-2</v>
      </c>
    </row>
    <row r="118" spans="1:6" x14ac:dyDescent="0.45">
      <c r="A118" s="13">
        <v>44858</v>
      </c>
      <c r="B118" s="28">
        <v>2903.65</v>
      </c>
      <c r="C118" s="14">
        <f t="shared" si="1"/>
        <v>-6.6812575123572193E-2</v>
      </c>
    </row>
    <row r="119" spans="1:6" x14ac:dyDescent="0.45">
      <c r="A119" s="13">
        <v>44865</v>
      </c>
      <c r="B119" s="28">
        <v>2686.2</v>
      </c>
      <c r="C119" s="14">
        <f t="shared" si="1"/>
        <v>-7.488850240214906E-2</v>
      </c>
    </row>
    <row r="120" spans="1:6" x14ac:dyDescent="0.45">
      <c r="A120" s="13">
        <v>44872</v>
      </c>
      <c r="B120" s="28">
        <v>2228.33</v>
      </c>
      <c r="C120" s="14">
        <f t="shared" si="1"/>
        <v>-0.17045268408904768</v>
      </c>
    </row>
    <row r="121" spans="1:6" x14ac:dyDescent="0.45">
      <c r="A121" s="13">
        <v>44879</v>
      </c>
      <c r="B121" s="28">
        <v>1862.48</v>
      </c>
      <c r="C121" s="14">
        <f t="shared" si="1"/>
        <v>-0.16418124784031085</v>
      </c>
    </row>
    <row r="122" spans="1:6" x14ac:dyDescent="0.45">
      <c r="A122" s="13">
        <v>44886</v>
      </c>
      <c r="B122" s="28">
        <v>1479.84</v>
      </c>
      <c r="C122" s="14">
        <f t="shared" si="1"/>
        <v>-0.20544650143894172</v>
      </c>
    </row>
    <row r="123" spans="1:6" x14ac:dyDescent="0.45">
      <c r="A123" s="13">
        <v>44893</v>
      </c>
      <c r="B123" s="28">
        <v>1263.3900000000001</v>
      </c>
      <c r="C123" s="14">
        <f t="shared" si="1"/>
        <v>-0.14626581252027238</v>
      </c>
    </row>
    <row r="124" spans="1:6" x14ac:dyDescent="0.45">
      <c r="A124" s="13">
        <v>44900</v>
      </c>
      <c r="B124" s="28">
        <v>1191.01</v>
      </c>
      <c r="C124" s="14">
        <f t="shared" si="1"/>
        <v>-5.7290306239561883E-2</v>
      </c>
    </row>
    <row r="125" spans="1:6" x14ac:dyDescent="0.45">
      <c r="A125" s="13">
        <v>44907</v>
      </c>
      <c r="B125" s="28">
        <v>1173.1500000000001</v>
      </c>
      <c r="C125" s="14">
        <f t="shared" si="1"/>
        <v>-1.4995675938908937E-2</v>
      </c>
    </row>
    <row r="126" spans="1:6" x14ac:dyDescent="0.45">
      <c r="A126" s="13">
        <v>44914</v>
      </c>
      <c r="B126" s="28">
        <v>1154.28</v>
      </c>
      <c r="C126" s="14">
        <f t="shared" si="1"/>
        <v>-1.6084899629203564E-2</v>
      </c>
    </row>
    <row r="127" spans="1:6" x14ac:dyDescent="0.45">
      <c r="A127" s="13">
        <v>44921</v>
      </c>
      <c r="B127" s="28">
        <v>1142.07</v>
      </c>
      <c r="C127" s="14">
        <f t="shared" si="1"/>
        <v>-1.0578022663478515E-2</v>
      </c>
    </row>
    <row r="128" spans="1:6" x14ac:dyDescent="0.45">
      <c r="A128" s="13">
        <v>44928</v>
      </c>
      <c r="B128" s="28">
        <v>1159.44</v>
      </c>
      <c r="C128" s="14">
        <f t="shared" si="1"/>
        <v>1.520922535396263E-2</v>
      </c>
      <c r="E128" s="28">
        <v>821.67</v>
      </c>
      <c r="F128" s="14"/>
    </row>
    <row r="129" spans="1:6" x14ac:dyDescent="0.45">
      <c r="A129" s="13">
        <v>44935</v>
      </c>
      <c r="B129" s="28">
        <v>1152.95</v>
      </c>
      <c r="C129" s="14">
        <f t="shared" si="1"/>
        <v>-5.5975298419926878E-3</v>
      </c>
      <c r="E129" s="28">
        <v>821.55</v>
      </c>
      <c r="F129" s="23">
        <f t="shared" ref="F129:F179" si="2">E129/E128-1</f>
        <v>-1.4604403227569396E-4</v>
      </c>
    </row>
    <row r="130" spans="1:6" x14ac:dyDescent="0.45">
      <c r="A130" s="13">
        <v>44942</v>
      </c>
      <c r="B130" s="28">
        <v>1144.5899999999999</v>
      </c>
      <c r="C130" s="14">
        <f t="shared" si="1"/>
        <v>-7.250964916084901E-3</v>
      </c>
      <c r="E130" s="28">
        <v>797.56</v>
      </c>
      <c r="F130" s="14">
        <f t="shared" si="2"/>
        <v>-2.9200900736412905E-2</v>
      </c>
    </row>
    <row r="131" spans="1:6" x14ac:dyDescent="0.45">
      <c r="A131" s="13">
        <v>44949</v>
      </c>
      <c r="B131" s="28">
        <v>1126.75</v>
      </c>
      <c r="C131" s="14">
        <f t="shared" si="1"/>
        <v>-1.5586367170777216E-2</v>
      </c>
      <c r="E131" s="28">
        <v>797.72</v>
      </c>
      <c r="F131" s="14">
        <f t="shared" si="2"/>
        <v>2.0061186619191318E-4</v>
      </c>
    </row>
    <row r="132" spans="1:6" x14ac:dyDescent="0.45">
      <c r="A132" s="13">
        <v>44956</v>
      </c>
      <c r="B132" s="28">
        <v>1119.28</v>
      </c>
      <c r="C132" s="14">
        <f t="shared" ref="C132:C195" si="3">B132/B131-1</f>
        <v>-6.629687153317132E-3</v>
      </c>
      <c r="E132" s="28">
        <v>786.68</v>
      </c>
      <c r="F132" s="14">
        <f t="shared" si="2"/>
        <v>-1.3839442410871095E-2</v>
      </c>
    </row>
    <row r="133" spans="1:6" x14ac:dyDescent="0.45">
      <c r="A133" s="13">
        <v>44963</v>
      </c>
      <c r="B133" s="28">
        <v>1069.73</v>
      </c>
      <c r="C133" s="14">
        <f t="shared" si="3"/>
        <v>-4.4269530412407887E-2</v>
      </c>
      <c r="E133" s="28">
        <v>779.44</v>
      </c>
      <c r="F133" s="14">
        <f t="shared" si="2"/>
        <v>-9.2032338434940852E-3</v>
      </c>
    </row>
    <row r="134" spans="1:6" x14ac:dyDescent="0.45">
      <c r="A134" s="13">
        <v>44970</v>
      </c>
      <c r="B134" s="28">
        <v>1030.9000000000001</v>
      </c>
      <c r="C134" s="14">
        <f t="shared" si="3"/>
        <v>-3.6298879156422603E-2</v>
      </c>
      <c r="E134" s="28">
        <v>767.93</v>
      </c>
      <c r="F134" s="14">
        <f t="shared" si="2"/>
        <v>-1.4767012213897313E-2</v>
      </c>
    </row>
    <row r="135" spans="1:6" x14ac:dyDescent="0.45">
      <c r="A135" s="13">
        <v>44977</v>
      </c>
      <c r="B135" s="28">
        <v>1007.35</v>
      </c>
      <c r="C135" s="14">
        <f t="shared" si="3"/>
        <v>-2.284411679115339E-2</v>
      </c>
      <c r="E135" s="28">
        <v>760.93</v>
      </c>
      <c r="F135" s="14">
        <f t="shared" si="2"/>
        <v>-9.1154141653536636E-3</v>
      </c>
    </row>
    <row r="136" spans="1:6" x14ac:dyDescent="0.45">
      <c r="A136" s="13">
        <v>44984</v>
      </c>
      <c r="B136" s="28">
        <v>967.87</v>
      </c>
      <c r="C136" s="14">
        <f t="shared" si="3"/>
        <v>-3.9191939246537966E-2</v>
      </c>
      <c r="E136" s="28">
        <v>720.1</v>
      </c>
      <c r="F136" s="14">
        <f t="shared" si="2"/>
        <v>-5.3658023734114768E-2</v>
      </c>
    </row>
    <row r="137" spans="1:6" x14ac:dyDescent="0.45">
      <c r="A137" s="13">
        <v>44991</v>
      </c>
      <c r="B137" s="28">
        <v>954.48</v>
      </c>
      <c r="C137" s="14">
        <f t="shared" si="3"/>
        <v>-1.3834502567493523E-2</v>
      </c>
      <c r="E137" s="28">
        <v>712.25</v>
      </c>
      <c r="F137" s="14">
        <f t="shared" si="2"/>
        <v>-1.0901263713373188E-2</v>
      </c>
    </row>
    <row r="138" spans="1:6" x14ac:dyDescent="0.45">
      <c r="A138" s="13">
        <v>44998</v>
      </c>
      <c r="B138" s="28">
        <v>930.74</v>
      </c>
      <c r="C138" s="14">
        <f t="shared" si="3"/>
        <v>-2.4872181711507846E-2</v>
      </c>
      <c r="E138" s="28">
        <v>706.33</v>
      </c>
      <c r="F138" s="14">
        <f t="shared" si="2"/>
        <v>-8.31168831168827E-3</v>
      </c>
    </row>
    <row r="139" spans="1:6" x14ac:dyDescent="0.45">
      <c r="A139" s="13">
        <v>45005</v>
      </c>
      <c r="B139" s="28">
        <v>917.51</v>
      </c>
      <c r="C139" s="14">
        <f t="shared" si="3"/>
        <v>-1.4214495992436182E-2</v>
      </c>
      <c r="E139" s="28">
        <v>697</v>
      </c>
      <c r="F139" s="14">
        <f t="shared" si="2"/>
        <v>-1.3209123214361629E-2</v>
      </c>
    </row>
    <row r="140" spans="1:6" x14ac:dyDescent="0.45">
      <c r="A140" s="13">
        <v>45012</v>
      </c>
      <c r="B140" s="28">
        <v>945.84</v>
      </c>
      <c r="C140" s="14">
        <f t="shared" si="3"/>
        <v>3.0877047661605816E-2</v>
      </c>
      <c r="E140" s="28">
        <v>690.88</v>
      </c>
      <c r="F140" s="14">
        <f t="shared" si="2"/>
        <v>-8.7804878048780566E-3</v>
      </c>
    </row>
    <row r="141" spans="1:6" x14ac:dyDescent="0.45">
      <c r="A141" s="13">
        <v>45019</v>
      </c>
      <c r="B141" s="28">
        <v>917.28</v>
      </c>
      <c r="C141" s="14">
        <f t="shared" si="3"/>
        <v>-3.0195381882770933E-2</v>
      </c>
      <c r="E141" s="28">
        <v>697.36</v>
      </c>
      <c r="F141" s="14">
        <f t="shared" si="2"/>
        <v>9.3793422880963373E-3</v>
      </c>
    </row>
    <row r="142" spans="1:6" x14ac:dyDescent="0.45">
      <c r="A142" s="13">
        <v>45026</v>
      </c>
      <c r="B142" s="28">
        <v>916.24</v>
      </c>
      <c r="C142" s="14">
        <f t="shared" si="3"/>
        <v>-1.1337868480725266E-3</v>
      </c>
      <c r="E142" s="28">
        <v>672.59</v>
      </c>
      <c r="F142" s="14">
        <f t="shared" si="2"/>
        <v>-3.5519674199839368E-2</v>
      </c>
    </row>
    <row r="143" spans="1:6" x14ac:dyDescent="0.45">
      <c r="A143" s="13">
        <v>45033</v>
      </c>
      <c r="B143" s="28">
        <v>929.79</v>
      </c>
      <c r="C143" s="14">
        <f t="shared" si="3"/>
        <v>1.4788701650222613E-2</v>
      </c>
      <c r="E143" s="28">
        <v>678.57</v>
      </c>
      <c r="F143" s="14">
        <f t="shared" si="2"/>
        <v>8.8910034344846789E-3</v>
      </c>
    </row>
    <row r="144" spans="1:6" x14ac:dyDescent="0.45">
      <c r="A144" s="13">
        <v>45040</v>
      </c>
      <c r="B144" s="28">
        <v>942.71</v>
      </c>
      <c r="C144" s="14">
        <f t="shared" si="3"/>
        <v>1.3895610836855754E-2</v>
      </c>
      <c r="E144" s="28">
        <v>833.65</v>
      </c>
      <c r="F144" s="14">
        <f t="shared" si="2"/>
        <v>0.22853942850405984</v>
      </c>
    </row>
    <row r="145" spans="1:6" x14ac:dyDescent="0.45">
      <c r="A145" s="13">
        <v>45047</v>
      </c>
      <c r="B145" s="28">
        <v>942.71</v>
      </c>
      <c r="C145" s="14">
        <f t="shared" si="3"/>
        <v>0</v>
      </c>
      <c r="E145" s="28">
        <v>961.02</v>
      </c>
      <c r="F145" s="14">
        <f t="shared" si="2"/>
        <v>0.15278594134228984</v>
      </c>
    </row>
    <row r="146" spans="1:6" x14ac:dyDescent="0.45">
      <c r="A146" s="13">
        <v>45054</v>
      </c>
      <c r="B146" s="28">
        <v>930.18</v>
      </c>
      <c r="C146" s="14">
        <f t="shared" si="3"/>
        <v>-1.3291468213978974E-2</v>
      </c>
      <c r="E146" s="28">
        <v>865.9</v>
      </c>
      <c r="F146" s="14">
        <f t="shared" si="2"/>
        <v>-9.8978169028740348E-2</v>
      </c>
    </row>
    <row r="147" spans="1:6" x14ac:dyDescent="0.45">
      <c r="A147" s="13">
        <v>45061</v>
      </c>
      <c r="B147" s="28">
        <v>926.48</v>
      </c>
      <c r="C147" s="14">
        <f t="shared" si="3"/>
        <v>-3.9777247414478634E-3</v>
      </c>
      <c r="E147" s="28">
        <v>858.05</v>
      </c>
      <c r="F147" s="14">
        <f t="shared" si="2"/>
        <v>-9.0657119759788296E-3</v>
      </c>
    </row>
    <row r="148" spans="1:6" x14ac:dyDescent="0.45">
      <c r="A148" s="13">
        <v>45068</v>
      </c>
      <c r="B148" s="28">
        <v>931.67</v>
      </c>
      <c r="C148" s="14">
        <f t="shared" si="3"/>
        <v>5.601847854243891E-3</v>
      </c>
      <c r="E148" s="28">
        <v>821.79</v>
      </c>
      <c r="F148" s="14">
        <f t="shared" si="2"/>
        <v>-4.2258609638132993E-2</v>
      </c>
    </row>
    <row r="149" spans="1:6" x14ac:dyDescent="0.45">
      <c r="A149" s="13">
        <v>45075</v>
      </c>
      <c r="B149" s="28">
        <v>912.07</v>
      </c>
      <c r="C149" s="14">
        <f t="shared" si="3"/>
        <v>-2.1037491815771636E-2</v>
      </c>
      <c r="E149" s="28">
        <v>784.22</v>
      </c>
      <c r="F149" s="14">
        <f t="shared" si="2"/>
        <v>-4.5717275703038407E-2</v>
      </c>
    </row>
    <row r="150" spans="1:6" x14ac:dyDescent="0.45">
      <c r="A150" s="13">
        <v>45082</v>
      </c>
      <c r="B150" s="28">
        <v>902.92</v>
      </c>
      <c r="C150" s="14">
        <f t="shared" si="3"/>
        <v>-1.0032124727268887E-2</v>
      </c>
      <c r="E150" s="28">
        <v>727.89</v>
      </c>
      <c r="F150" s="14">
        <f t="shared" si="2"/>
        <v>-7.1829333605365919E-2</v>
      </c>
    </row>
    <row r="151" spans="1:6" x14ac:dyDescent="0.45">
      <c r="A151" s="13">
        <v>45089</v>
      </c>
      <c r="B151" s="28">
        <v>897.01</v>
      </c>
      <c r="C151" s="14">
        <f t="shared" si="3"/>
        <v>-6.5454303814290737E-3</v>
      </c>
      <c r="E151" s="28">
        <v>912.85</v>
      </c>
      <c r="F151" s="14">
        <f t="shared" si="2"/>
        <v>0.25410432895080315</v>
      </c>
    </row>
    <row r="152" spans="1:6" x14ac:dyDescent="0.45">
      <c r="A152" s="13">
        <v>45096</v>
      </c>
      <c r="B152" s="28">
        <v>857.01</v>
      </c>
      <c r="C152" s="14">
        <f t="shared" si="3"/>
        <v>-4.4592590941015198E-2</v>
      </c>
      <c r="E152" s="28">
        <v>808.08</v>
      </c>
      <c r="F152" s="14">
        <f t="shared" si="2"/>
        <v>-0.11477241605959354</v>
      </c>
    </row>
    <row r="153" spans="1:6" x14ac:dyDescent="0.45">
      <c r="A153" s="13">
        <v>45103</v>
      </c>
      <c r="B153" s="28">
        <v>835.34</v>
      </c>
      <c r="C153" s="14">
        <f t="shared" si="3"/>
        <v>-2.5285585932486199E-2</v>
      </c>
      <c r="E153" s="28">
        <v>718.52</v>
      </c>
      <c r="F153" s="14">
        <f t="shared" si="2"/>
        <v>-0.11083061083061085</v>
      </c>
    </row>
    <row r="154" spans="1:6" x14ac:dyDescent="0.45">
      <c r="A154" s="13">
        <v>45110</v>
      </c>
      <c r="B154" s="28">
        <v>816.07</v>
      </c>
      <c r="C154" s="14">
        <f t="shared" si="3"/>
        <v>-2.306845116958367E-2</v>
      </c>
      <c r="E154" s="28">
        <v>690.96</v>
      </c>
      <c r="F154" s="14">
        <f t="shared" si="2"/>
        <v>-3.8356621945109359E-2</v>
      </c>
    </row>
    <row r="155" spans="1:6" x14ac:dyDescent="0.45">
      <c r="A155" s="13">
        <v>45117</v>
      </c>
      <c r="B155" s="28">
        <v>790.78</v>
      </c>
      <c r="C155" s="14">
        <f t="shared" si="3"/>
        <v>-3.0989988603918883E-2</v>
      </c>
      <c r="E155" s="28">
        <v>762.8</v>
      </c>
      <c r="F155" s="14">
        <f t="shared" si="2"/>
        <v>0.10397128632627051</v>
      </c>
    </row>
    <row r="156" spans="1:6" x14ac:dyDescent="0.45">
      <c r="A156" s="13">
        <v>45124</v>
      </c>
      <c r="B156" s="28">
        <v>760</v>
      </c>
      <c r="C156" s="14">
        <f t="shared" si="3"/>
        <v>-3.8923594425756769E-2</v>
      </c>
      <c r="E156" s="28">
        <v>851.29</v>
      </c>
      <c r="F156" s="14">
        <f t="shared" si="2"/>
        <v>0.11600681699003679</v>
      </c>
    </row>
    <row r="157" spans="1:6" x14ac:dyDescent="0.45">
      <c r="A157" s="13">
        <v>45131</v>
      </c>
      <c r="B157" s="28">
        <v>779.38</v>
      </c>
      <c r="C157" s="14">
        <f t="shared" si="3"/>
        <v>2.5500000000000078E-2</v>
      </c>
      <c r="E157" s="28">
        <v>979.33</v>
      </c>
      <c r="F157" s="14">
        <f t="shared" si="2"/>
        <v>0.15040702933195504</v>
      </c>
    </row>
    <row r="158" spans="1:6" x14ac:dyDescent="0.45">
      <c r="A158" s="13">
        <v>45138</v>
      </c>
      <c r="B158" s="28">
        <v>782.81</v>
      </c>
      <c r="C158" s="14">
        <f t="shared" si="3"/>
        <v>4.4009340758037752E-3</v>
      </c>
      <c r="E158" s="28">
        <v>1090.3599999999999</v>
      </c>
      <c r="F158" s="14">
        <f t="shared" si="2"/>
        <v>0.11337342877273215</v>
      </c>
    </row>
    <row r="159" spans="1:6" x14ac:dyDescent="0.45">
      <c r="A159" s="13">
        <v>45145</v>
      </c>
      <c r="B159" s="28">
        <v>828.86</v>
      </c>
      <c r="C159" s="14">
        <f t="shared" si="3"/>
        <v>5.8826535174563599E-2</v>
      </c>
      <c r="E159" s="28">
        <v>1103.6400000000001</v>
      </c>
      <c r="F159" s="14">
        <f t="shared" si="2"/>
        <v>1.217946366337741E-2</v>
      </c>
    </row>
    <row r="160" spans="1:6" x14ac:dyDescent="0.45">
      <c r="A160" s="13">
        <v>45152</v>
      </c>
      <c r="B160" s="28">
        <v>1110.02</v>
      </c>
      <c r="C160" s="14">
        <f t="shared" si="3"/>
        <v>0.33921289481939043</v>
      </c>
      <c r="E160" s="28">
        <v>1218.54</v>
      </c>
      <c r="F160" s="14">
        <f t="shared" si="2"/>
        <v>0.10411003588126544</v>
      </c>
    </row>
    <row r="161" spans="1:6" x14ac:dyDescent="0.45">
      <c r="A161" s="13">
        <v>45159</v>
      </c>
      <c r="B161" s="28">
        <v>1039.01</v>
      </c>
      <c r="C161" s="14">
        <f t="shared" si="3"/>
        <v>-6.3971820327561657E-2</v>
      </c>
      <c r="E161" s="28">
        <v>1227.97</v>
      </c>
      <c r="F161" s="14">
        <f t="shared" si="2"/>
        <v>7.7387693469235241E-3</v>
      </c>
    </row>
    <row r="162" spans="1:6" x14ac:dyDescent="0.45">
      <c r="A162" s="13">
        <v>45166</v>
      </c>
      <c r="B162" s="28">
        <v>974.78</v>
      </c>
      <c r="C162" s="14">
        <f t="shared" si="3"/>
        <v>-6.1818461804987512E-2</v>
      </c>
      <c r="E162" s="28">
        <v>1219.1300000000001</v>
      </c>
      <c r="F162" s="14">
        <f t="shared" si="2"/>
        <v>-7.1988729366352366E-3</v>
      </c>
    </row>
    <row r="163" spans="1:6" x14ac:dyDescent="0.45">
      <c r="A163" s="13">
        <v>45173</v>
      </c>
      <c r="B163" s="28">
        <v>896.92</v>
      </c>
      <c r="C163" s="14">
        <f t="shared" si="3"/>
        <v>-7.9874433205441298E-2</v>
      </c>
      <c r="E163" s="28">
        <v>1215.4100000000001</v>
      </c>
      <c r="F163" s="14">
        <f t="shared" si="2"/>
        <v>-3.0513562950629236E-3</v>
      </c>
    </row>
    <row r="164" spans="1:6" x14ac:dyDescent="0.45">
      <c r="A164" s="13">
        <v>45180</v>
      </c>
      <c r="B164" s="28">
        <v>827.37</v>
      </c>
      <c r="C164" s="14">
        <f t="shared" si="3"/>
        <v>-7.7543147660883882E-2</v>
      </c>
      <c r="E164" s="28">
        <v>1307.54</v>
      </c>
      <c r="F164" s="14">
        <f t="shared" si="2"/>
        <v>7.5801581359376646E-2</v>
      </c>
    </row>
    <row r="165" spans="1:6" x14ac:dyDescent="0.45">
      <c r="A165" s="13">
        <v>45187</v>
      </c>
      <c r="B165" s="28">
        <v>780.47</v>
      </c>
      <c r="C165" s="14">
        <f t="shared" si="3"/>
        <v>-5.6685642457425356E-2</v>
      </c>
      <c r="E165" s="28">
        <v>1198.6500000000001</v>
      </c>
      <c r="F165" s="14">
        <f t="shared" si="2"/>
        <v>-8.3278523027976115E-2</v>
      </c>
    </row>
    <row r="166" spans="1:6" x14ac:dyDescent="0.45">
      <c r="A166" s="13">
        <v>45194</v>
      </c>
      <c r="B166" s="28">
        <v>704.62</v>
      </c>
      <c r="C166" s="14">
        <f t="shared" si="3"/>
        <v>-9.7185029533486289E-2</v>
      </c>
      <c r="E166" s="28">
        <v>1236.8699999999999</v>
      </c>
      <c r="F166" s="14">
        <f t="shared" si="2"/>
        <v>3.1885871605556115E-2</v>
      </c>
    </row>
    <row r="167" spans="1:6" x14ac:dyDescent="0.45">
      <c r="A167" s="13">
        <v>45201</v>
      </c>
      <c r="B167" s="28">
        <v>646.87</v>
      </c>
      <c r="C167" s="14">
        <f t="shared" si="3"/>
        <v>-8.1959070137095136E-2</v>
      </c>
      <c r="E167" s="28">
        <v>1103.3800000000001</v>
      </c>
      <c r="F167" s="14">
        <f t="shared" si="2"/>
        <v>-0.10792565103850837</v>
      </c>
    </row>
    <row r="168" spans="1:6" x14ac:dyDescent="0.45">
      <c r="A168" s="13">
        <v>45208</v>
      </c>
      <c r="B168" s="28">
        <v>623.99</v>
      </c>
      <c r="C168" s="14">
        <f t="shared" si="3"/>
        <v>-3.537032170296972E-2</v>
      </c>
      <c r="E168" s="28">
        <v>1102.21</v>
      </c>
      <c r="F168" s="14">
        <f t="shared" si="2"/>
        <v>-1.0603781108956545E-3</v>
      </c>
    </row>
    <row r="169" spans="1:6" x14ac:dyDescent="0.45">
      <c r="A169" s="13">
        <v>45215</v>
      </c>
      <c r="B169" s="28">
        <v>600.4</v>
      </c>
      <c r="C169" s="14">
        <f t="shared" si="3"/>
        <v>-3.7805093030337078E-2</v>
      </c>
      <c r="E169" s="28">
        <v>1082.95</v>
      </c>
      <c r="F169" s="14">
        <f t="shared" si="2"/>
        <v>-1.7473984086517125E-2</v>
      </c>
    </row>
    <row r="170" spans="1:6" x14ac:dyDescent="0.45">
      <c r="A170" s="13">
        <v>45222</v>
      </c>
      <c r="B170" s="28">
        <v>597.16999999999996</v>
      </c>
      <c r="C170" s="14">
        <f t="shared" si="3"/>
        <v>-5.3797468354430666E-3</v>
      </c>
      <c r="E170" s="28">
        <v>1087.58</v>
      </c>
      <c r="F170" s="14">
        <f t="shared" si="2"/>
        <v>4.2753589731749919E-3</v>
      </c>
    </row>
    <row r="171" spans="1:6" x14ac:dyDescent="0.45">
      <c r="A171" s="13">
        <v>45229</v>
      </c>
      <c r="B171" s="28">
        <v>607.04999999999995</v>
      </c>
      <c r="C171" s="14">
        <f t="shared" si="3"/>
        <v>1.6544702513522136E-2</v>
      </c>
      <c r="E171" s="28">
        <v>1151.26</v>
      </c>
      <c r="F171" s="14">
        <f t="shared" si="2"/>
        <v>5.8552014564445809E-2</v>
      </c>
    </row>
    <row r="172" spans="1:6" x14ac:dyDescent="0.45">
      <c r="A172" s="13">
        <v>45236</v>
      </c>
      <c r="B172" s="28">
        <v>653.73</v>
      </c>
      <c r="C172" s="14">
        <f t="shared" si="3"/>
        <v>7.6896466518408868E-2</v>
      </c>
      <c r="E172" s="28">
        <v>1120.03</v>
      </c>
      <c r="F172" s="14">
        <f t="shared" si="2"/>
        <v>-2.7126800201518364E-2</v>
      </c>
    </row>
    <row r="173" spans="1:6" x14ac:dyDescent="0.45">
      <c r="A173" s="13">
        <v>45243</v>
      </c>
      <c r="B173" s="28">
        <v>858.18</v>
      </c>
      <c r="C173" s="14">
        <f t="shared" si="3"/>
        <v>0.31274379330916413</v>
      </c>
      <c r="E173" s="28">
        <v>1259.5999999999999</v>
      </c>
      <c r="F173" s="14">
        <f t="shared" si="2"/>
        <v>0.12461273358749314</v>
      </c>
    </row>
    <row r="174" spans="1:6" x14ac:dyDescent="0.45">
      <c r="A174" s="13">
        <v>45250</v>
      </c>
      <c r="B174" s="28">
        <v>789.28</v>
      </c>
      <c r="C174" s="14">
        <f t="shared" si="3"/>
        <v>-8.0286187047006408E-2</v>
      </c>
      <c r="E174" s="28">
        <v>1108.75</v>
      </c>
      <c r="F174" s="14">
        <f t="shared" si="2"/>
        <v>-0.11976024134645913</v>
      </c>
    </row>
    <row r="175" spans="1:6" x14ac:dyDescent="0.45">
      <c r="A175" s="13">
        <v>45257</v>
      </c>
      <c r="B175" s="28">
        <v>754.34</v>
      </c>
      <c r="C175" s="14">
        <f t="shared" si="3"/>
        <v>-4.4268193796878075E-2</v>
      </c>
      <c r="E175" s="28">
        <v>1025.6199999999999</v>
      </c>
      <c r="F175" s="14">
        <f t="shared" si="2"/>
        <v>-7.4976324689966289E-2</v>
      </c>
    </row>
    <row r="176" spans="1:6" x14ac:dyDescent="0.45">
      <c r="A176" s="13">
        <v>45264</v>
      </c>
      <c r="B176" s="28">
        <v>752.7</v>
      </c>
      <c r="C176" s="14">
        <f t="shared" si="3"/>
        <v>-2.1740859559349346E-3</v>
      </c>
      <c r="E176" s="28">
        <v>966.48</v>
      </c>
      <c r="F176" s="14">
        <f t="shared" si="2"/>
        <v>-5.7662682084982597E-2</v>
      </c>
    </row>
    <row r="177" spans="1:7" x14ac:dyDescent="0.45">
      <c r="A177" s="13">
        <v>45271</v>
      </c>
      <c r="B177" s="28">
        <v>939.57</v>
      </c>
      <c r="C177" s="14">
        <f t="shared" si="3"/>
        <v>0.24826624153049015</v>
      </c>
      <c r="E177" s="28">
        <v>977.78</v>
      </c>
      <c r="F177" s="14">
        <f t="shared" si="2"/>
        <v>1.169191292111571E-2</v>
      </c>
    </row>
    <row r="178" spans="1:7" x14ac:dyDescent="0.45">
      <c r="A178" s="13">
        <v>45278</v>
      </c>
      <c r="B178" s="28">
        <v>990.38</v>
      </c>
      <c r="C178" s="14">
        <f t="shared" si="3"/>
        <v>5.4077929265514912E-2</v>
      </c>
      <c r="E178" s="28">
        <v>997</v>
      </c>
      <c r="F178" s="14">
        <f t="shared" si="2"/>
        <v>1.965677350733297E-2</v>
      </c>
    </row>
    <row r="179" spans="1:7" x14ac:dyDescent="0.45">
      <c r="A179" s="13">
        <v>45285</v>
      </c>
      <c r="B179" s="28">
        <v>1204.81</v>
      </c>
      <c r="C179" s="14">
        <f t="shared" si="3"/>
        <v>0.21651285365213346</v>
      </c>
      <c r="E179" s="28">
        <v>1080.67</v>
      </c>
      <c r="F179" s="14">
        <f t="shared" si="2"/>
        <v>8.3921765295887685E-2</v>
      </c>
    </row>
    <row r="180" spans="1:7" x14ac:dyDescent="0.45">
      <c r="A180" s="13">
        <v>45292</v>
      </c>
      <c r="B180" s="28">
        <v>1228.1600000000001</v>
      </c>
      <c r="C180" s="14">
        <f t="shared" si="3"/>
        <v>1.9380649230999136E-2</v>
      </c>
      <c r="D180" s="26">
        <f t="shared" ref="D180:D220" si="4">B180/B128-1</f>
        <v>5.926999241012898E-2</v>
      </c>
      <c r="E180" s="28">
        <v>1095.06</v>
      </c>
      <c r="F180" s="14">
        <f t="shared" ref="F180" si="5">E180/E179-1</f>
        <v>1.3315813338021565E-2</v>
      </c>
      <c r="G180" s="19">
        <f t="shared" ref="G180" si="6">E180/E128-1</f>
        <v>0.33272481653218455</v>
      </c>
    </row>
    <row r="181" spans="1:7" x14ac:dyDescent="0.45">
      <c r="A181" s="13">
        <v>45299</v>
      </c>
      <c r="B181" s="28">
        <v>2098.6</v>
      </c>
      <c r="C181" s="14">
        <f t="shared" si="3"/>
        <v>0.7087350182386658</v>
      </c>
      <c r="D181" s="26">
        <f t="shared" si="4"/>
        <v>0.8202003556095232</v>
      </c>
      <c r="E181" s="28">
        <v>1186.96</v>
      </c>
      <c r="F181" s="14">
        <f t="shared" ref="F181:F243" si="7">E181/E180-1</f>
        <v>8.3922342154767904E-2</v>
      </c>
      <c r="G181" s="19">
        <f t="shared" ref="G181:G243" si="8">E181/E129-1</f>
        <v>0.44478120625646667</v>
      </c>
    </row>
    <row r="182" spans="1:7" x14ac:dyDescent="0.45">
      <c r="A182" s="13">
        <v>45306</v>
      </c>
      <c r="B182" s="28">
        <v>3140.7</v>
      </c>
      <c r="C182" s="14">
        <f t="shared" si="3"/>
        <v>0.49656914133231678</v>
      </c>
      <c r="D182" s="26">
        <f t="shared" si="4"/>
        <v>1.7439519828060703</v>
      </c>
      <c r="E182" s="28">
        <v>1673.68</v>
      </c>
      <c r="F182" s="14">
        <f t="shared" si="7"/>
        <v>0.41005594122801114</v>
      </c>
      <c r="G182" s="19">
        <f t="shared" si="8"/>
        <v>1.098500426300216</v>
      </c>
    </row>
    <row r="183" spans="1:7" x14ac:dyDescent="0.45">
      <c r="A183" s="13">
        <v>45313</v>
      </c>
      <c r="B183" s="28">
        <v>3509.06</v>
      </c>
      <c r="C183" s="14">
        <f t="shared" si="3"/>
        <v>0.11728595536027009</v>
      </c>
      <c r="D183" s="26">
        <f t="shared" si="4"/>
        <v>2.1143199467495006</v>
      </c>
      <c r="E183" s="28">
        <v>1684</v>
      </c>
      <c r="F183" s="14">
        <f t="shared" si="7"/>
        <v>6.1660532479326235E-3</v>
      </c>
      <c r="G183" s="19">
        <f t="shared" si="8"/>
        <v>1.1110163967306823</v>
      </c>
    </row>
    <row r="184" spans="1:7" x14ac:dyDescent="0.45">
      <c r="A184" s="13">
        <v>45320</v>
      </c>
      <c r="B184" s="28">
        <v>3496.05</v>
      </c>
      <c r="C184" s="14">
        <f t="shared" si="3"/>
        <v>-3.7075456105053473E-3</v>
      </c>
      <c r="D184" s="26">
        <f t="shared" si="4"/>
        <v>2.1234811664641557</v>
      </c>
      <c r="E184" s="28">
        <v>2603.88</v>
      </c>
      <c r="F184" s="14">
        <f t="shared" si="7"/>
        <v>0.54624703087885984</v>
      </c>
      <c r="G184" s="19">
        <f t="shared" si="8"/>
        <v>2.3099608481212188</v>
      </c>
    </row>
    <row r="185" spans="1:7" x14ac:dyDescent="0.45">
      <c r="A185" s="13">
        <v>45327</v>
      </c>
      <c r="B185" s="28">
        <v>3472.03</v>
      </c>
      <c r="C185" s="14">
        <f t="shared" si="3"/>
        <v>-6.8706111182620377E-3</v>
      </c>
      <c r="D185" s="26">
        <f t="shared" si="4"/>
        <v>2.2457068606096868</v>
      </c>
      <c r="E185" s="28">
        <v>2513.12</v>
      </c>
      <c r="F185" s="14">
        <f t="shared" si="7"/>
        <v>-3.485567691291469E-2</v>
      </c>
      <c r="G185" s="19">
        <f t="shared" si="8"/>
        <v>2.2242635738478906</v>
      </c>
    </row>
    <row r="186" spans="1:7" x14ac:dyDescent="0.45">
      <c r="A186" s="13">
        <v>45334</v>
      </c>
      <c r="B186" s="28">
        <v>3363.34</v>
      </c>
      <c r="C186" s="14">
        <f t="shared" si="3"/>
        <v>-3.1304453014518896E-2</v>
      </c>
      <c r="D186" s="26">
        <f t="shared" si="4"/>
        <v>2.2625278882529827</v>
      </c>
      <c r="E186" s="28">
        <v>2904.03</v>
      </c>
      <c r="F186" s="14">
        <f t="shared" si="7"/>
        <v>0.15554768574520916</v>
      </c>
      <c r="G186" s="19">
        <f t="shared" si="8"/>
        <v>2.7816337426588365</v>
      </c>
    </row>
    <row r="187" spans="1:7" x14ac:dyDescent="0.45">
      <c r="A187" s="13">
        <v>45341</v>
      </c>
      <c r="B187" s="28">
        <v>3246.51</v>
      </c>
      <c r="C187" s="14">
        <f t="shared" si="3"/>
        <v>-3.4736303793253098E-2</v>
      </c>
      <c r="D187" s="26">
        <f t="shared" si="4"/>
        <v>2.2228222564153475</v>
      </c>
      <c r="E187" s="28">
        <v>2789.1</v>
      </c>
      <c r="F187" s="14">
        <f t="shared" si="7"/>
        <v>-3.957603743762983E-2</v>
      </c>
      <c r="G187" s="19">
        <f t="shared" si="8"/>
        <v>2.6653831495669773</v>
      </c>
    </row>
    <row r="188" spans="1:7" x14ac:dyDescent="0.45">
      <c r="A188" s="13">
        <v>45348</v>
      </c>
      <c r="B188" s="28">
        <v>2936.57</v>
      </c>
      <c r="C188" s="14">
        <f t="shared" si="3"/>
        <v>-9.5468672512944663E-2</v>
      </c>
      <c r="D188" s="26">
        <f t="shared" si="4"/>
        <v>2.0340541601661384</v>
      </c>
      <c r="E188" s="28">
        <v>2172.11</v>
      </c>
      <c r="F188" s="14">
        <f t="shared" si="7"/>
        <v>-0.22121472876555159</v>
      </c>
      <c r="G188" s="19">
        <f t="shared" si="8"/>
        <v>2.0164004999305654</v>
      </c>
    </row>
    <row r="189" spans="1:7" x14ac:dyDescent="0.45">
      <c r="A189" s="13">
        <v>45355</v>
      </c>
      <c r="B189" s="28">
        <v>2849.62</v>
      </c>
      <c r="C189" s="14">
        <f t="shared" si="3"/>
        <v>-2.9609374201875038E-2</v>
      </c>
      <c r="D189" s="26">
        <f t="shared" si="4"/>
        <v>1.9855209119101498</v>
      </c>
      <c r="E189" s="28">
        <v>2520.69</v>
      </c>
      <c r="F189" s="14">
        <f t="shared" si="7"/>
        <v>0.16047990203074436</v>
      </c>
      <c r="G189" s="19">
        <f t="shared" si="8"/>
        <v>2.5390522990522992</v>
      </c>
    </row>
    <row r="190" spans="1:7" x14ac:dyDescent="0.45">
      <c r="A190" s="13">
        <v>45362</v>
      </c>
      <c r="B190" s="28">
        <v>2533.6799999999998</v>
      </c>
      <c r="C190" s="14">
        <f t="shared" si="3"/>
        <v>-0.1108709231406293</v>
      </c>
      <c r="D190" s="26">
        <f t="shared" si="4"/>
        <v>1.7222210284289918</v>
      </c>
      <c r="E190" s="28">
        <v>2177.17</v>
      </c>
      <c r="F190" s="14">
        <f t="shared" si="7"/>
        <v>-0.13628014551571199</v>
      </c>
      <c r="G190" s="19">
        <f t="shared" si="8"/>
        <v>2.0823694307193521</v>
      </c>
    </row>
    <row r="191" spans="1:7" x14ac:dyDescent="0.45">
      <c r="A191" s="13">
        <v>45369</v>
      </c>
      <c r="B191" s="28">
        <v>2437.19</v>
      </c>
      <c r="C191" s="14">
        <f t="shared" si="3"/>
        <v>-3.8082946544157004E-2</v>
      </c>
      <c r="D191" s="26">
        <f t="shared" si="4"/>
        <v>1.6563089230635089</v>
      </c>
      <c r="E191" s="28">
        <v>2075.66</v>
      </c>
      <c r="F191" s="14">
        <f t="shared" si="7"/>
        <v>-4.6624746804337813E-2</v>
      </c>
      <c r="G191" s="19">
        <f t="shared" si="8"/>
        <v>1.9779913916786223</v>
      </c>
    </row>
    <row r="192" spans="1:7" x14ac:dyDescent="0.45">
      <c r="A192" s="13">
        <v>45376</v>
      </c>
      <c r="B192" s="28">
        <v>2153.34</v>
      </c>
      <c r="C192" s="14">
        <f t="shared" si="3"/>
        <v>-0.11646609414940978</v>
      </c>
      <c r="D192" s="26">
        <f t="shared" si="4"/>
        <v>1.2766429840142095</v>
      </c>
      <c r="E192" s="28">
        <v>2030.1</v>
      </c>
      <c r="F192" s="14">
        <f t="shared" si="7"/>
        <v>-2.1949644932214296E-2</v>
      </c>
      <c r="G192" s="19">
        <f t="shared" si="8"/>
        <v>1.938426354793886</v>
      </c>
    </row>
    <row r="193" spans="1:7" x14ac:dyDescent="0.45">
      <c r="A193" s="13">
        <v>45383</v>
      </c>
      <c r="B193" s="28">
        <v>2174.19</v>
      </c>
      <c r="C193" s="14">
        <f t="shared" si="3"/>
        <v>9.6826325615091413E-3</v>
      </c>
      <c r="D193" s="26">
        <f t="shared" si="4"/>
        <v>1.3702577184720042</v>
      </c>
      <c r="E193" s="28">
        <v>1890.15</v>
      </c>
      <c r="F193" s="14">
        <f t="shared" si="7"/>
        <v>-6.8937490764001685E-2</v>
      </c>
      <c r="G193" s="19">
        <f t="shared" si="8"/>
        <v>1.7104365033841917</v>
      </c>
    </row>
    <row r="194" spans="1:7" x14ac:dyDescent="0.45">
      <c r="A194" s="13">
        <v>45390</v>
      </c>
      <c r="B194" s="28">
        <v>2172.14</v>
      </c>
      <c r="C194" s="14">
        <f t="shared" si="3"/>
        <v>-9.4287987710373056E-4</v>
      </c>
      <c r="D194" s="26">
        <f t="shared" si="4"/>
        <v>1.3707107308128874</v>
      </c>
      <c r="E194" s="28">
        <v>1888.86</v>
      </c>
      <c r="F194" s="14">
        <f t="shared" si="7"/>
        <v>-6.8248551702254634E-4</v>
      </c>
      <c r="G194" s="19">
        <f t="shared" si="8"/>
        <v>1.8083379176021048</v>
      </c>
    </row>
    <row r="195" spans="1:7" x14ac:dyDescent="0.45">
      <c r="A195" s="13">
        <v>45397</v>
      </c>
      <c r="B195" s="28">
        <v>2147.86</v>
      </c>
      <c r="C195" s="14">
        <f t="shared" si="3"/>
        <v>-1.1177916708867586E-2</v>
      </c>
      <c r="D195" s="26">
        <f t="shared" si="4"/>
        <v>1.3100485055765283</v>
      </c>
      <c r="E195" s="28">
        <v>1802.53</v>
      </c>
      <c r="F195" s="14">
        <f t="shared" si="7"/>
        <v>-4.5704816661901848E-2</v>
      </c>
      <c r="G195" s="19">
        <f t="shared" si="8"/>
        <v>1.6563655923486151</v>
      </c>
    </row>
    <row r="196" spans="1:7" x14ac:dyDescent="0.45">
      <c r="A196" s="13">
        <v>45404</v>
      </c>
      <c r="B196" s="28">
        <v>2134.85</v>
      </c>
      <c r="C196" s="14">
        <f t="shared" ref="C196:C221" si="9">B196/B195-1</f>
        <v>-6.0571918095221333E-3</v>
      </c>
      <c r="D196" s="26">
        <f t="shared" si="4"/>
        <v>1.2645882615014159</v>
      </c>
      <c r="E196" s="28">
        <v>1797.45</v>
      </c>
      <c r="F196" s="14">
        <f t="shared" si="7"/>
        <v>-2.8182609998168573E-3</v>
      </c>
      <c r="G196" s="19">
        <f t="shared" si="8"/>
        <v>1.1561206741438252</v>
      </c>
    </row>
    <row r="197" spans="1:7" x14ac:dyDescent="0.45">
      <c r="A197" s="13">
        <v>45411</v>
      </c>
      <c r="B197" s="28">
        <v>2175.94</v>
      </c>
      <c r="C197" s="14">
        <f t="shared" si="9"/>
        <v>1.9247253905426698E-2</v>
      </c>
      <c r="D197" s="26">
        <f t="shared" si="4"/>
        <v>1.3081753667617826</v>
      </c>
      <c r="E197" s="28">
        <v>1811.82</v>
      </c>
      <c r="F197" s="14">
        <f t="shared" si="7"/>
        <v>7.9946591003920986E-3</v>
      </c>
      <c r="G197" s="19">
        <f t="shared" si="8"/>
        <v>0.88530935880626838</v>
      </c>
    </row>
    <row r="198" spans="1:7" x14ac:dyDescent="0.45">
      <c r="A198" s="13">
        <v>45418</v>
      </c>
      <c r="B198" s="28">
        <v>2208.83</v>
      </c>
      <c r="C198" s="14">
        <f t="shared" si="9"/>
        <v>1.511530648823034E-2</v>
      </c>
      <c r="D198" s="26">
        <f t="shared" si="4"/>
        <v>1.3746264163925264</v>
      </c>
      <c r="E198" s="28">
        <v>1834.42</v>
      </c>
      <c r="F198" s="14">
        <f t="shared" si="7"/>
        <v>1.2473645284851731E-2</v>
      </c>
      <c r="G198" s="19">
        <f t="shared" si="8"/>
        <v>1.1185125303152792</v>
      </c>
    </row>
    <row r="199" spans="1:7" x14ac:dyDescent="0.45">
      <c r="A199" s="13">
        <v>45425</v>
      </c>
      <c r="B199" s="28">
        <v>2512.14</v>
      </c>
      <c r="C199" s="14">
        <f t="shared" si="9"/>
        <v>0.1373170411484812</v>
      </c>
      <c r="D199" s="26">
        <f t="shared" si="4"/>
        <v>1.7114886451947151</v>
      </c>
      <c r="E199" s="28">
        <v>2508</v>
      </c>
      <c r="F199" s="14">
        <f t="shared" si="7"/>
        <v>0.36718962941965305</v>
      </c>
      <c r="G199" s="19">
        <f t="shared" si="8"/>
        <v>1.9229065905250278</v>
      </c>
    </row>
    <row r="200" spans="1:7" x14ac:dyDescent="0.45">
      <c r="A200" s="13">
        <v>45432</v>
      </c>
      <c r="B200" s="28">
        <v>3070.53</v>
      </c>
      <c r="C200" s="14">
        <f t="shared" si="9"/>
        <v>0.22227662471040643</v>
      </c>
      <c r="D200" s="26">
        <f t="shared" si="4"/>
        <v>2.2957270278102766</v>
      </c>
      <c r="E200" s="28">
        <v>2610.91</v>
      </c>
      <c r="F200" s="14">
        <f t="shared" si="7"/>
        <v>4.1032695374800587E-2</v>
      </c>
      <c r="G200" s="19">
        <f t="shared" si="8"/>
        <v>2.1771012059041848</v>
      </c>
    </row>
    <row r="201" spans="1:7" x14ac:dyDescent="0.45">
      <c r="A201" s="13">
        <v>45439</v>
      </c>
      <c r="B201" s="28">
        <v>3368.61</v>
      </c>
      <c r="C201" s="14">
        <f t="shared" si="9"/>
        <v>9.7077703197819165E-2</v>
      </c>
      <c r="D201" s="26">
        <f t="shared" si="4"/>
        <v>2.6933678336092624</v>
      </c>
      <c r="E201" s="28">
        <v>3082.86</v>
      </c>
      <c r="F201" s="14">
        <f t="shared" si="7"/>
        <v>0.18076073093289335</v>
      </c>
      <c r="G201" s="19">
        <f t="shared" si="8"/>
        <v>2.931116268394073</v>
      </c>
    </row>
    <row r="202" spans="1:7" x14ac:dyDescent="0.45">
      <c r="A202" s="13">
        <v>45446</v>
      </c>
      <c r="B202" s="28">
        <v>3798.68</v>
      </c>
      <c r="C202" s="14">
        <f t="shared" si="9"/>
        <v>0.12766986976824257</v>
      </c>
      <c r="D202" s="26">
        <f t="shared" si="4"/>
        <v>3.2071058344039338</v>
      </c>
      <c r="E202" s="28">
        <v>3240.51</v>
      </c>
      <c r="F202" s="14">
        <f t="shared" si="7"/>
        <v>5.1137580039314123E-2</v>
      </c>
      <c r="G202" s="19">
        <f t="shared" si="8"/>
        <v>3.4519226806248202</v>
      </c>
    </row>
    <row r="203" spans="1:7" x14ac:dyDescent="0.45">
      <c r="A203" s="13">
        <v>45453</v>
      </c>
      <c r="B203" s="28">
        <v>4229.83</v>
      </c>
      <c r="C203" s="14">
        <f t="shared" si="9"/>
        <v>0.11349995261511903</v>
      </c>
      <c r="D203" s="26">
        <f t="shared" si="4"/>
        <v>3.715476973500853</v>
      </c>
      <c r="E203" s="28">
        <v>3385.84</v>
      </c>
      <c r="F203" s="14">
        <f t="shared" si="7"/>
        <v>4.4847878883262249E-2</v>
      </c>
      <c r="G203" s="19">
        <f t="shared" si="8"/>
        <v>2.7090869255627981</v>
      </c>
    </row>
    <row r="204" spans="1:7" x14ac:dyDescent="0.45">
      <c r="A204" s="13">
        <v>45460</v>
      </c>
      <c r="B204" s="28">
        <v>4688.53</v>
      </c>
      <c r="C204" s="14">
        <f t="shared" si="9"/>
        <v>0.10844407458455763</v>
      </c>
      <c r="D204" s="26">
        <f t="shared" si="4"/>
        <v>4.4707996406109611</v>
      </c>
      <c r="E204" s="28">
        <v>3841.56</v>
      </c>
      <c r="F204" s="14">
        <f t="shared" si="7"/>
        <v>0.13459584623018217</v>
      </c>
      <c r="G204" s="19">
        <f t="shared" si="8"/>
        <v>3.7539352539352535</v>
      </c>
    </row>
    <row r="205" spans="1:7" x14ac:dyDescent="0.45">
      <c r="A205" s="13">
        <v>45467</v>
      </c>
      <c r="B205" s="28">
        <v>4765.87</v>
      </c>
      <c r="C205" s="14">
        <f t="shared" si="9"/>
        <v>1.6495575372238225E-2</v>
      </c>
      <c r="D205" s="26">
        <f t="shared" si="4"/>
        <v>4.7053056240572699</v>
      </c>
      <c r="E205" s="28">
        <v>4064.85</v>
      </c>
      <c r="F205" s="14">
        <f t="shared" si="7"/>
        <v>5.8124824290132215E-2</v>
      </c>
      <c r="G205" s="19">
        <f t="shared" si="8"/>
        <v>4.6572537994767025</v>
      </c>
    </row>
    <row r="206" spans="1:7" x14ac:dyDescent="0.45">
      <c r="A206" s="13">
        <v>45474</v>
      </c>
      <c r="B206" s="28">
        <v>5353.02</v>
      </c>
      <c r="C206" s="14">
        <f t="shared" si="9"/>
        <v>0.12319891226575641</v>
      </c>
      <c r="D206" s="26">
        <f t="shared" si="4"/>
        <v>5.5595108262771573</v>
      </c>
      <c r="E206" s="28">
        <v>4426.83</v>
      </c>
      <c r="F206" s="14">
        <f t="shared" si="7"/>
        <v>8.9051256503930087E-2</v>
      </c>
      <c r="G206" s="19">
        <f t="shared" si="8"/>
        <v>5.4067818687044111</v>
      </c>
    </row>
    <row r="207" spans="1:7" x14ac:dyDescent="0.45">
      <c r="A207" s="13">
        <f>A206+7</f>
        <v>45481</v>
      </c>
      <c r="B207" s="28">
        <v>5432.34</v>
      </c>
      <c r="C207" s="14">
        <f t="shared" si="9"/>
        <v>1.4817803781790317E-2</v>
      </c>
      <c r="D207" s="26">
        <f t="shared" si="4"/>
        <v>5.8695971066541901</v>
      </c>
      <c r="E207" s="28">
        <v>4580.3</v>
      </c>
      <c r="F207" s="14">
        <f t="shared" si="7"/>
        <v>3.4668148539700017E-2</v>
      </c>
      <c r="G207" s="19">
        <f t="shared" si="8"/>
        <v>5.0045883586785536</v>
      </c>
    </row>
    <row r="208" spans="1:7" x14ac:dyDescent="0.45">
      <c r="A208" s="13">
        <f t="shared" ref="A208:A243" si="10">A207+7</f>
        <v>45488</v>
      </c>
      <c r="B208" s="28">
        <v>6002.23</v>
      </c>
      <c r="C208" s="14">
        <f t="shared" si="9"/>
        <v>0.10490690936134328</v>
      </c>
      <c r="D208" s="26">
        <f t="shared" si="4"/>
        <v>6.8976710526315781</v>
      </c>
      <c r="E208" s="28">
        <v>4905.87</v>
      </c>
      <c r="F208" s="14">
        <f t="shared" si="7"/>
        <v>7.1080496910682633E-2</v>
      </c>
      <c r="G208" s="19">
        <f t="shared" si="8"/>
        <v>4.7628657684220421</v>
      </c>
    </row>
    <row r="209" spans="1:7" x14ac:dyDescent="0.45">
      <c r="A209" s="13">
        <f t="shared" si="10"/>
        <v>45495</v>
      </c>
      <c r="B209" s="28">
        <v>6318.1</v>
      </c>
      <c r="C209" s="14">
        <f t="shared" si="9"/>
        <v>5.2625440877807295E-2</v>
      </c>
      <c r="D209" s="26">
        <f t="shared" si="4"/>
        <v>7.1065718904770456</v>
      </c>
      <c r="E209" s="28">
        <v>4615.55</v>
      </c>
      <c r="F209" s="14">
        <f t="shared" si="7"/>
        <v>-5.917808665945079E-2</v>
      </c>
      <c r="G209" s="19">
        <f t="shared" si="8"/>
        <v>3.712967028478654</v>
      </c>
    </row>
    <row r="210" spans="1:7" x14ac:dyDescent="0.45">
      <c r="A210" s="13">
        <f t="shared" si="10"/>
        <v>45502</v>
      </c>
      <c r="B210" s="28">
        <v>6225.65</v>
      </c>
      <c r="C210" s="14">
        <f t="shared" si="9"/>
        <v>-1.4632563587154479E-2</v>
      </c>
      <c r="D210" s="26">
        <f t="shared" si="4"/>
        <v>6.952951546352244</v>
      </c>
      <c r="E210" s="28">
        <v>4146.93</v>
      </c>
      <c r="F210" s="14">
        <f t="shared" si="7"/>
        <v>-0.10153069515009039</v>
      </c>
      <c r="G210" s="19">
        <f t="shared" si="8"/>
        <v>2.8032668109615178</v>
      </c>
    </row>
    <row r="211" spans="1:7" x14ac:dyDescent="0.45">
      <c r="A211" s="13">
        <f t="shared" si="10"/>
        <v>45509</v>
      </c>
      <c r="B211" s="28">
        <v>6160.75</v>
      </c>
      <c r="C211" s="14">
        <f t="shared" si="9"/>
        <v>-1.0424614297302237E-2</v>
      </c>
      <c r="D211" s="26">
        <f t="shared" si="4"/>
        <v>6.4327992664623697</v>
      </c>
      <c r="E211" s="28">
        <v>4056.72</v>
      </c>
      <c r="F211" s="14">
        <f t="shared" si="7"/>
        <v>-2.175344170265725E-2</v>
      </c>
      <c r="G211" s="19">
        <f t="shared" si="8"/>
        <v>2.6757638360334886</v>
      </c>
    </row>
    <row r="212" spans="1:7" x14ac:dyDescent="0.45">
      <c r="A212" s="13">
        <f t="shared" si="10"/>
        <v>45516</v>
      </c>
      <c r="B212" s="28">
        <v>6060.83</v>
      </c>
      <c r="C212" s="14">
        <f t="shared" si="9"/>
        <v>-1.6218804528669417E-2</v>
      </c>
      <c r="D212" s="26">
        <f t="shared" si="4"/>
        <v>4.4601088268679847</v>
      </c>
      <c r="E212" s="28">
        <v>3887.79</v>
      </c>
      <c r="F212" s="14">
        <f t="shared" si="7"/>
        <v>-4.1642016210140187E-2</v>
      </c>
      <c r="G212" s="19">
        <f t="shared" si="8"/>
        <v>2.1905312915456201</v>
      </c>
    </row>
    <row r="213" spans="1:7" x14ac:dyDescent="0.45">
      <c r="A213" s="13">
        <f t="shared" si="10"/>
        <v>45523</v>
      </c>
      <c r="B213" s="28">
        <v>5918.73</v>
      </c>
      <c r="C213" s="14">
        <f t="shared" si="9"/>
        <v>-2.3445633683835454E-2</v>
      </c>
      <c r="D213" s="26">
        <f t="shared" si="4"/>
        <v>4.6965091770050336</v>
      </c>
      <c r="E213" s="28">
        <v>3261.47</v>
      </c>
      <c r="F213" s="14">
        <f t="shared" si="7"/>
        <v>-0.16109923632706502</v>
      </c>
      <c r="G213" s="19">
        <f t="shared" si="8"/>
        <v>1.6559850810687555</v>
      </c>
    </row>
    <row r="214" spans="1:7" x14ac:dyDescent="0.45">
      <c r="A214" s="13">
        <f t="shared" si="10"/>
        <v>45530</v>
      </c>
      <c r="B214" s="28">
        <v>5486.45</v>
      </c>
      <c r="C214" s="14">
        <f t="shared" si="9"/>
        <v>-7.3035938453012705E-2</v>
      </c>
      <c r="D214" s="26">
        <f t="shared" si="4"/>
        <v>4.6283982026713719</v>
      </c>
      <c r="E214" s="28">
        <v>3050.69</v>
      </c>
      <c r="F214" s="14">
        <f t="shared" si="7"/>
        <v>-6.4627299959833961E-2</v>
      </c>
      <c r="G214" s="19">
        <f t="shared" si="8"/>
        <v>1.5023500365014395</v>
      </c>
    </row>
    <row r="215" spans="1:7" x14ac:dyDescent="0.45">
      <c r="A215" s="13">
        <f t="shared" si="10"/>
        <v>45537</v>
      </c>
      <c r="B215" s="28">
        <v>5110.07</v>
      </c>
      <c r="C215" s="14">
        <f t="shared" si="9"/>
        <v>-6.8601737006625418E-2</v>
      </c>
      <c r="D215" s="26">
        <f t="shared" si="4"/>
        <v>4.6973531641617985</v>
      </c>
      <c r="E215" s="28">
        <v>3012.79</v>
      </c>
      <c r="F215" s="14">
        <f t="shared" si="7"/>
        <v>-1.2423418964234378E-2</v>
      </c>
      <c r="G215" s="19">
        <f t="shared" si="8"/>
        <v>1.4788260751515949</v>
      </c>
    </row>
    <row r="216" spans="1:7" x14ac:dyDescent="0.45">
      <c r="A216" s="13">
        <f t="shared" si="10"/>
        <v>45544</v>
      </c>
      <c r="B216" s="28">
        <v>4566.2700000000004</v>
      </c>
      <c r="C216" s="14">
        <f t="shared" si="9"/>
        <v>-0.10641732892113009</v>
      </c>
      <c r="D216" s="26">
        <f t="shared" si="4"/>
        <v>4.5190180934769213</v>
      </c>
      <c r="E216" s="28">
        <v>2805.22</v>
      </c>
      <c r="F216" s="14">
        <f t="shared" si="7"/>
        <v>-6.8896272226076194E-2</v>
      </c>
      <c r="G216" s="19">
        <f t="shared" si="8"/>
        <v>1.1454181134037964</v>
      </c>
    </row>
    <row r="217" spans="1:7" x14ac:dyDescent="0.45">
      <c r="A217" s="13">
        <f t="shared" si="10"/>
        <v>45551</v>
      </c>
      <c r="B217" s="28">
        <v>3813.92</v>
      </c>
      <c r="C217" s="14">
        <f t="shared" si="9"/>
        <v>-0.16476248666855009</v>
      </c>
      <c r="D217" s="26">
        <f t="shared" si="4"/>
        <v>3.8866964777633992</v>
      </c>
      <c r="E217" s="28">
        <v>3055.45</v>
      </c>
      <c r="F217" s="14">
        <f t="shared" si="7"/>
        <v>8.9201559948952402E-2</v>
      </c>
      <c r="G217" s="19">
        <f t="shared" si="8"/>
        <v>1.5490760438827009</v>
      </c>
    </row>
    <row r="218" spans="1:7" x14ac:dyDescent="0.45">
      <c r="A218" s="13">
        <f t="shared" si="10"/>
        <v>45558</v>
      </c>
      <c r="B218" s="28">
        <v>3285.46</v>
      </c>
      <c r="C218" s="14">
        <f t="shared" si="9"/>
        <v>-0.13856085077820202</v>
      </c>
      <c r="D218" s="26">
        <f t="shared" si="4"/>
        <v>3.6627402003917009</v>
      </c>
      <c r="E218" s="28">
        <v>3105.52</v>
      </c>
      <c r="F218" s="14">
        <f t="shared" si="7"/>
        <v>1.6387111554762912E-2</v>
      </c>
      <c r="G218" s="19">
        <f t="shared" si="8"/>
        <v>1.5107893311342342</v>
      </c>
    </row>
    <row r="219" spans="1:7" x14ac:dyDescent="0.45">
      <c r="A219" s="13">
        <f t="shared" si="10"/>
        <v>45565</v>
      </c>
      <c r="B219" s="28">
        <v>3164.84</v>
      </c>
      <c r="C219" s="14">
        <f t="shared" si="9"/>
        <v>-3.6713276070930667E-2</v>
      </c>
      <c r="D219" s="26">
        <f t="shared" si="4"/>
        <v>3.8925440969592033</v>
      </c>
      <c r="E219" s="28">
        <v>2868.75</v>
      </c>
      <c r="F219" s="14">
        <f t="shared" si="7"/>
        <v>-7.6241660011849843E-2</v>
      </c>
      <c r="G219" s="19">
        <f t="shared" si="8"/>
        <v>1.5999655603690477</v>
      </c>
    </row>
    <row r="220" spans="1:7" x14ac:dyDescent="0.45">
      <c r="A220" s="13">
        <f t="shared" si="10"/>
        <v>45572</v>
      </c>
      <c r="B220" s="28">
        <v>2662.75</v>
      </c>
      <c r="C220" s="14">
        <f t="shared" si="9"/>
        <v>-0.15864625067933924</v>
      </c>
      <c r="D220" s="26">
        <f t="shared" si="4"/>
        <v>3.2672959502556127</v>
      </c>
      <c r="E220" s="28">
        <v>2787.6</v>
      </c>
      <c r="F220" s="14">
        <f t="shared" si="7"/>
        <v>-2.828758169934642E-2</v>
      </c>
      <c r="G220" s="19">
        <f t="shared" si="8"/>
        <v>1.5291006251077381</v>
      </c>
    </row>
    <row r="221" spans="1:7" x14ac:dyDescent="0.45">
      <c r="A221" s="13">
        <f t="shared" si="10"/>
        <v>45579</v>
      </c>
      <c r="B221" s="28">
        <v>2391.04</v>
      </c>
      <c r="C221" s="14">
        <f t="shared" si="9"/>
        <v>-0.10204112289925826</v>
      </c>
      <c r="D221" s="26">
        <f>B221/B169-1</f>
        <v>2.9824117255163225</v>
      </c>
      <c r="E221" s="28">
        <v>2718.64</v>
      </c>
      <c r="F221" s="14">
        <f t="shared" si="7"/>
        <v>-2.4738125986511705E-2</v>
      </c>
      <c r="G221" s="19">
        <f t="shared" si="8"/>
        <v>1.5104021422965048</v>
      </c>
    </row>
    <row r="222" spans="1:7" x14ac:dyDescent="0.45">
      <c r="A222" s="13">
        <f t="shared" si="10"/>
        <v>45586</v>
      </c>
      <c r="B222" s="28">
        <v>2204.58</v>
      </c>
      <c r="C222" s="14">
        <f t="shared" ref="C222:C229" si="11">B222/B221-1</f>
        <v>-7.7982802462526757E-2</v>
      </c>
      <c r="D222" s="26">
        <f t="shared" ref="D222:D229" si="12">B222/B170-1</f>
        <v>2.6917125776579534</v>
      </c>
      <c r="E222" s="28">
        <v>2712.25</v>
      </c>
      <c r="F222" s="14">
        <f t="shared" si="7"/>
        <v>-2.3504399258452713E-3</v>
      </c>
      <c r="G222" s="19">
        <f t="shared" si="8"/>
        <v>1.4938395336435022</v>
      </c>
    </row>
    <row r="223" spans="1:7" x14ac:dyDescent="0.45">
      <c r="A223" s="13">
        <f t="shared" si="10"/>
        <v>45593</v>
      </c>
      <c r="B223" s="28">
        <v>2207.87</v>
      </c>
      <c r="C223" s="14">
        <f t="shared" si="11"/>
        <v>1.4923477487776005E-3</v>
      </c>
      <c r="D223" s="26">
        <f t="shared" si="12"/>
        <v>2.6370480191088048</v>
      </c>
      <c r="E223" s="28">
        <v>2817.72</v>
      </c>
      <c r="F223" s="14">
        <f t="shared" si="7"/>
        <v>3.8886533321043304E-2</v>
      </c>
      <c r="G223" s="19">
        <f t="shared" si="8"/>
        <v>1.4475096850407376</v>
      </c>
    </row>
    <row r="224" spans="1:7" x14ac:dyDescent="0.45">
      <c r="A224" s="13">
        <f t="shared" si="10"/>
        <v>45600</v>
      </c>
      <c r="B224" s="28">
        <v>2258.5100000000002</v>
      </c>
      <c r="C224" s="14">
        <f t="shared" si="11"/>
        <v>2.2936133015078131E-2</v>
      </c>
      <c r="D224" s="26">
        <f t="shared" si="12"/>
        <v>2.4548055007418967</v>
      </c>
      <c r="E224" s="28">
        <v>2779.01</v>
      </c>
      <c r="F224" s="14">
        <f t="shared" si="7"/>
        <v>-1.3738057720426244E-2</v>
      </c>
      <c r="G224" s="19">
        <f t="shared" si="8"/>
        <v>1.4811924680588917</v>
      </c>
    </row>
    <row r="225" spans="1:7" x14ac:dyDescent="0.45">
      <c r="A225" s="13">
        <f t="shared" si="10"/>
        <v>45607</v>
      </c>
      <c r="B225" s="28">
        <v>2526.04</v>
      </c>
      <c r="C225" s="14">
        <f t="shared" si="11"/>
        <v>0.11845420210669855</v>
      </c>
      <c r="D225" s="26">
        <f t="shared" si="12"/>
        <v>1.9434850497564615</v>
      </c>
      <c r="E225" s="28">
        <v>2819.48</v>
      </c>
      <c r="F225" s="14">
        <f t="shared" si="7"/>
        <v>1.4562739968549954E-2</v>
      </c>
      <c r="G225" s="19">
        <f t="shared" si="8"/>
        <v>1.2383931406795812</v>
      </c>
    </row>
    <row r="226" spans="1:7" x14ac:dyDescent="0.45">
      <c r="A226" s="13">
        <f t="shared" si="10"/>
        <v>45614</v>
      </c>
      <c r="B226" s="28">
        <v>2771.7</v>
      </c>
      <c r="C226" s="14">
        <f t="shared" si="11"/>
        <v>9.7251033237795159E-2</v>
      </c>
      <c r="D226" s="26">
        <f t="shared" si="12"/>
        <v>2.5116815325359823</v>
      </c>
      <c r="E226" s="28">
        <v>2443.04</v>
      </c>
      <c r="F226" s="14">
        <f t="shared" si="7"/>
        <v>-0.13351398130151659</v>
      </c>
      <c r="G226" s="19">
        <f t="shared" si="8"/>
        <v>1.2034182638105975</v>
      </c>
    </row>
    <row r="227" spans="1:7" x14ac:dyDescent="0.45">
      <c r="A227" s="13">
        <f t="shared" si="10"/>
        <v>45621</v>
      </c>
      <c r="B227" s="28">
        <v>2861.6</v>
      </c>
      <c r="C227" s="14">
        <f t="shared" si="11"/>
        <v>3.2434967709348062E-2</v>
      </c>
      <c r="D227" s="26">
        <f t="shared" si="12"/>
        <v>2.7935148606729059</v>
      </c>
      <c r="E227" s="28">
        <v>1961.49</v>
      </c>
      <c r="F227" s="14">
        <f t="shared" si="7"/>
        <v>-0.19711097648830966</v>
      </c>
      <c r="G227" s="19">
        <f t="shared" si="8"/>
        <v>0.91249195608509992</v>
      </c>
    </row>
    <row r="228" spans="1:7" x14ac:dyDescent="0.45">
      <c r="A228" s="13">
        <f t="shared" si="10"/>
        <v>45628</v>
      </c>
      <c r="B228" s="28">
        <v>2828.63</v>
      </c>
      <c r="C228" s="14">
        <f t="shared" si="11"/>
        <v>-1.1521526418786676E-2</v>
      </c>
      <c r="D228" s="26">
        <f t="shared" si="12"/>
        <v>2.7579779460608473</v>
      </c>
      <c r="E228" s="28">
        <v>1717.87</v>
      </c>
      <c r="F228" s="14">
        <f t="shared" si="7"/>
        <v>-0.12420149988019313</v>
      </c>
      <c r="G228" s="19">
        <f t="shared" si="8"/>
        <v>0.7774501283006372</v>
      </c>
    </row>
    <row r="229" spans="1:7" x14ac:dyDescent="0.45">
      <c r="A229" s="13">
        <f t="shared" si="10"/>
        <v>45635</v>
      </c>
      <c r="B229" s="28">
        <v>3032.96</v>
      </c>
      <c r="C229" s="14">
        <f t="shared" si="11"/>
        <v>7.2236382983988712E-2</v>
      </c>
      <c r="D229" s="26">
        <f t="shared" si="12"/>
        <v>2.2280298434390198</v>
      </c>
      <c r="E229" s="28">
        <v>1602.83</v>
      </c>
      <c r="F229" s="14">
        <f t="shared" si="7"/>
        <v>-6.6966650561451124E-2</v>
      </c>
      <c r="G229" s="19">
        <f t="shared" si="8"/>
        <v>0.63925422896766149</v>
      </c>
    </row>
    <row r="230" spans="1:7" x14ac:dyDescent="0.45">
      <c r="A230" s="13">
        <f t="shared" si="10"/>
        <v>45642</v>
      </c>
      <c r="B230" s="28">
        <v>3456.71</v>
      </c>
      <c r="C230" s="14">
        <f t="shared" ref="C230:C237" si="13">B230/B229-1</f>
        <v>0.1397149978898502</v>
      </c>
      <c r="D230" s="26">
        <f t="shared" ref="D230:D237" si="14">B230/B178-1</f>
        <v>2.4902865566752155</v>
      </c>
      <c r="E230" s="28">
        <v>1498.64</v>
      </c>
      <c r="F230" s="14">
        <f t="shared" si="7"/>
        <v>-6.5003774573722639E-2</v>
      </c>
      <c r="G230" s="19">
        <f t="shared" si="8"/>
        <v>0.50314944834503517</v>
      </c>
    </row>
    <row r="231" spans="1:7" x14ac:dyDescent="0.45">
      <c r="A231" s="13">
        <f t="shared" si="10"/>
        <v>45649</v>
      </c>
      <c r="B231" s="28">
        <v>3364.32</v>
      </c>
      <c r="C231" s="14">
        <f t="shared" si="13"/>
        <v>-2.6727726653378414E-2</v>
      </c>
      <c r="D231" s="26">
        <f t="shared" si="14"/>
        <v>1.7924071015346823</v>
      </c>
      <c r="E231" s="28">
        <v>1821.18</v>
      </c>
      <c r="F231" s="14">
        <f t="shared" si="7"/>
        <v>0.2152218010996636</v>
      </c>
      <c r="G231" s="19">
        <f t="shared" si="8"/>
        <v>0.68523230958572001</v>
      </c>
    </row>
    <row r="232" spans="1:7" x14ac:dyDescent="0.45">
      <c r="A232" s="13">
        <f t="shared" si="10"/>
        <v>45656</v>
      </c>
      <c r="B232" s="28">
        <v>3513.8</v>
      </c>
      <c r="C232" s="14">
        <f t="shared" si="13"/>
        <v>4.4430969705616663E-2</v>
      </c>
      <c r="D232" s="26">
        <f t="shared" si="14"/>
        <v>1.8610278791036996</v>
      </c>
      <c r="E232" s="28">
        <v>2560.88</v>
      </c>
      <c r="F232" s="14">
        <f t="shared" si="7"/>
        <v>0.4061652335299093</v>
      </c>
      <c r="G232" s="19">
        <f t="shared" si="8"/>
        <v>1.3385750552481146</v>
      </c>
    </row>
    <row r="233" spans="1:7" x14ac:dyDescent="0.45">
      <c r="A233" s="13">
        <f t="shared" si="10"/>
        <v>45663</v>
      </c>
      <c r="B233" s="28">
        <v>3387.69</v>
      </c>
      <c r="C233" s="14">
        <f t="shared" si="13"/>
        <v>-3.5889919745005439E-2</v>
      </c>
      <c r="D233" s="26">
        <f t="shared" si="14"/>
        <v>0.61426188887830002</v>
      </c>
      <c r="E233" s="28">
        <v>2822.46</v>
      </c>
      <c r="F233" s="14">
        <f t="shared" si="7"/>
        <v>0.10214457530223986</v>
      </c>
      <c r="G233" s="19">
        <f t="shared" si="8"/>
        <v>1.3778897351216552</v>
      </c>
    </row>
    <row r="234" spans="1:7" x14ac:dyDescent="0.45">
      <c r="A234" s="13">
        <f t="shared" si="10"/>
        <v>45670</v>
      </c>
      <c r="B234" s="28">
        <v>3258.68</v>
      </c>
      <c r="C234" s="14">
        <f t="shared" si="13"/>
        <v>-3.8081996876928037E-2</v>
      </c>
      <c r="D234" s="26">
        <f t="shared" si="14"/>
        <v>3.7564874072659071E-2</v>
      </c>
      <c r="E234" s="28">
        <v>3210.93</v>
      </c>
      <c r="F234" s="14">
        <f t="shared" si="7"/>
        <v>0.13763525435258606</v>
      </c>
      <c r="G234" s="19">
        <f t="shared" si="8"/>
        <v>0.91848501505664149</v>
      </c>
    </row>
    <row r="235" spans="1:7" x14ac:dyDescent="0.45">
      <c r="A235" s="13">
        <f t="shared" si="10"/>
        <v>45677</v>
      </c>
      <c r="B235" s="28">
        <v>2787.38</v>
      </c>
      <c r="C235" s="14">
        <f t="shared" si="13"/>
        <v>-0.14462911362883124</v>
      </c>
      <c r="D235" s="26">
        <f t="shared" si="14"/>
        <v>-0.20566191515676557</v>
      </c>
      <c r="E235" s="28">
        <v>2447.77</v>
      </c>
      <c r="F235" s="14">
        <f t="shared" si="7"/>
        <v>-0.23767568897484526</v>
      </c>
      <c r="G235" s="19">
        <f t="shared" si="8"/>
        <v>0.45354513064133006</v>
      </c>
    </row>
    <row r="236" spans="1:7" x14ac:dyDescent="0.45">
      <c r="A236" s="13">
        <f t="shared" si="10"/>
        <v>45684</v>
      </c>
      <c r="B236" s="28">
        <v>2466.36</v>
      </c>
      <c r="C236" s="14">
        <f t="shared" si="13"/>
        <v>-0.1151690835121153</v>
      </c>
      <c r="D236" s="26">
        <f t="shared" si="14"/>
        <v>-0.29452954048140045</v>
      </c>
      <c r="E236" s="28">
        <v>2651.96</v>
      </c>
      <c r="F236" s="14">
        <f t="shared" si="7"/>
        <v>8.3418785261687223E-2</v>
      </c>
      <c r="G236" s="19">
        <f t="shared" si="8"/>
        <v>1.8464752599966161E-2</v>
      </c>
    </row>
    <row r="237" spans="1:7" x14ac:dyDescent="0.45">
      <c r="A237" s="13">
        <f t="shared" si="10"/>
        <v>45691</v>
      </c>
      <c r="B237" s="28">
        <v>2274.3200000000002</v>
      </c>
      <c r="C237" s="14">
        <f t="shared" si="13"/>
        <v>-7.7863734410223984E-2</v>
      </c>
      <c r="D237" s="26">
        <f t="shared" si="14"/>
        <v>-0.3449595769621806</v>
      </c>
      <c r="E237" s="28">
        <v>2460.73</v>
      </c>
      <c r="F237" s="14">
        <f t="shared" si="7"/>
        <v>-7.2108930753103317E-2</v>
      </c>
      <c r="G237" s="19">
        <f t="shared" si="8"/>
        <v>-2.0846597058636229E-2</v>
      </c>
    </row>
    <row r="238" spans="1:7" x14ac:dyDescent="0.45">
      <c r="A238" s="13">
        <f t="shared" si="10"/>
        <v>45698</v>
      </c>
      <c r="B238" s="28">
        <v>2353.0100000000002</v>
      </c>
      <c r="C238" s="14">
        <f t="shared" ref="C238:C243" si="15">B238/B237-1</f>
        <v>3.4599352773576397E-2</v>
      </c>
      <c r="D238" s="26">
        <f t="shared" ref="D238:D243" si="16">B238/B186-1</f>
        <v>-0.30039484559990959</v>
      </c>
      <c r="E238" s="28">
        <v>2246.96</v>
      </c>
      <c r="F238" s="14">
        <f t="shared" si="7"/>
        <v>-8.68725947178276E-2</v>
      </c>
      <c r="G238" s="19">
        <f t="shared" si="8"/>
        <v>-0.22626143669314713</v>
      </c>
    </row>
    <row r="239" spans="1:7" x14ac:dyDescent="0.45">
      <c r="A239" s="13">
        <f t="shared" si="10"/>
        <v>45705</v>
      </c>
      <c r="B239" s="28">
        <v>1897.84</v>
      </c>
      <c r="C239" s="14">
        <f t="shared" si="15"/>
        <v>-0.19344159183343901</v>
      </c>
      <c r="D239" s="26">
        <f t="shared" si="16"/>
        <v>-0.41542148337753471</v>
      </c>
      <c r="E239" s="28">
        <v>1931.49</v>
      </c>
      <c r="F239" s="14">
        <f t="shared" si="7"/>
        <v>-0.14039858297432972</v>
      </c>
      <c r="G239" s="19">
        <f t="shared" si="8"/>
        <v>-0.30748628589867699</v>
      </c>
    </row>
    <row r="240" spans="1:7" x14ac:dyDescent="0.45">
      <c r="A240" s="13">
        <f t="shared" si="10"/>
        <v>45712</v>
      </c>
      <c r="B240" s="28">
        <v>1684.4</v>
      </c>
      <c r="C240" s="14">
        <f t="shared" si="15"/>
        <v>-0.11246469670783621</v>
      </c>
      <c r="D240" s="26">
        <f t="shared" si="16"/>
        <v>-0.42640563650789864</v>
      </c>
      <c r="E240" s="28">
        <v>1851.41</v>
      </c>
      <c r="F240" s="14">
        <f t="shared" si="7"/>
        <v>-4.1460219830286471E-2</v>
      </c>
      <c r="G240" s="19">
        <f t="shared" si="8"/>
        <v>-0.14764445631206524</v>
      </c>
    </row>
    <row r="241" spans="1:7" x14ac:dyDescent="0.45">
      <c r="A241" s="13">
        <f t="shared" si="10"/>
        <v>45719</v>
      </c>
      <c r="B241" s="28">
        <v>1580.8</v>
      </c>
      <c r="C241" s="14">
        <f t="shared" si="15"/>
        <v>-6.1505580622180034E-2</v>
      </c>
      <c r="D241" s="26">
        <f t="shared" si="16"/>
        <v>-0.44525936791572207</v>
      </c>
      <c r="E241" s="28">
        <v>1599.93</v>
      </c>
      <c r="F241" s="14">
        <f t="shared" si="7"/>
        <v>-0.13583160942200811</v>
      </c>
      <c r="G241" s="19">
        <f t="shared" si="8"/>
        <v>-0.36528093498208825</v>
      </c>
    </row>
    <row r="242" spans="1:7" x14ac:dyDescent="0.45">
      <c r="A242" s="13">
        <f t="shared" si="10"/>
        <v>45726</v>
      </c>
      <c r="B242" s="28">
        <v>1677.57</v>
      </c>
      <c r="C242" s="14">
        <f t="shared" si="15"/>
        <v>6.1215840080971695E-2</v>
      </c>
      <c r="D242" s="26">
        <f t="shared" si="16"/>
        <v>-0.33789192005304536</v>
      </c>
      <c r="E242" s="28">
        <v>1506.5889999999999</v>
      </c>
      <c r="F242" s="14">
        <f t="shared" si="7"/>
        <v>-5.8340677404636554E-2</v>
      </c>
      <c r="G242" s="19">
        <f t="shared" si="8"/>
        <v>-0.30800580570189751</v>
      </c>
    </row>
    <row r="243" spans="1:7" x14ac:dyDescent="0.45">
      <c r="A243" s="13">
        <f t="shared" si="10"/>
        <v>45733</v>
      </c>
      <c r="B243" s="28">
        <v>1161.7</v>
      </c>
      <c r="C243" s="14">
        <f t="shared" si="15"/>
        <v>-0.30751026782787005</v>
      </c>
      <c r="D243" s="26">
        <f t="shared" si="16"/>
        <v>-0.52334450740401861</v>
      </c>
      <c r="E243" s="28">
        <v>1260.05</v>
      </c>
      <c r="F243" s="14">
        <f t="shared" si="7"/>
        <v>-0.163640515097349</v>
      </c>
      <c r="G243" s="19">
        <f t="shared" si="8"/>
        <v>-0.39294007689120569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5A90-9CD5-4A67-8865-A09FA481BC7B}">
  <dimension ref="A1:D37"/>
  <sheetViews>
    <sheetView zoomScale="70" zoomScaleNormal="70" workbookViewId="0">
      <selection activeCell="Q16" sqref="Q16"/>
    </sheetView>
  </sheetViews>
  <sheetFormatPr defaultRowHeight="14" x14ac:dyDescent="0.45"/>
  <sheetData>
    <row r="1" spans="1:4" s="15" customFormat="1" x14ac:dyDescent="0.45">
      <c r="A1" s="17"/>
      <c r="C1" s="16"/>
      <c r="D1" s="18"/>
    </row>
    <row r="2" spans="1:4" s="15" customFormat="1" x14ac:dyDescent="0.45">
      <c r="A2" s="17"/>
      <c r="C2" s="16"/>
    </row>
    <row r="3" spans="1:4" s="15" customFormat="1" x14ac:dyDescent="0.45">
      <c r="A3" s="17"/>
      <c r="C3" s="16"/>
    </row>
    <row r="4" spans="1:4" s="15" customFormat="1" x14ac:dyDescent="0.45"/>
    <row r="5" spans="1:4" s="15" customFormat="1" x14ac:dyDescent="0.45"/>
    <row r="6" spans="1:4" s="15" customFormat="1" x14ac:dyDescent="0.45"/>
    <row r="7" spans="1:4" s="15" customFormat="1" x14ac:dyDescent="0.45"/>
    <row r="8" spans="1:4" s="15" customFormat="1" x14ac:dyDescent="0.45"/>
    <row r="9" spans="1:4" s="15" customFormat="1" x14ac:dyDescent="0.45"/>
    <row r="10" spans="1:4" s="15" customFormat="1" x14ac:dyDescent="0.45"/>
    <row r="11" spans="1:4" s="15" customFormat="1" x14ac:dyDescent="0.45"/>
    <row r="12" spans="1:4" s="15" customFormat="1" x14ac:dyDescent="0.45"/>
    <row r="13" spans="1:4" s="15" customFormat="1" x14ac:dyDescent="0.45"/>
    <row r="14" spans="1:4" s="15" customFormat="1" x14ac:dyDescent="0.45"/>
    <row r="15" spans="1:4" s="15" customFormat="1" x14ac:dyDescent="0.45"/>
    <row r="16" spans="1:4" s="15" customFormat="1" x14ac:dyDescent="0.45"/>
    <row r="17" s="15" customFormat="1" x14ac:dyDescent="0.45"/>
    <row r="18" s="15" customFormat="1" x14ac:dyDescent="0.45"/>
    <row r="19" s="15" customFormat="1" x14ac:dyDescent="0.45"/>
    <row r="20" s="15" customFormat="1" x14ac:dyDescent="0.45"/>
    <row r="21" s="15" customFormat="1" x14ac:dyDescent="0.45"/>
    <row r="22" s="15" customFormat="1" x14ac:dyDescent="0.45"/>
    <row r="23" s="15" customFormat="1" x14ac:dyDescent="0.45"/>
    <row r="24" s="15" customFormat="1" x14ac:dyDescent="0.45"/>
    <row r="25" s="15" customFormat="1" x14ac:dyDescent="0.45"/>
    <row r="26" s="15" customFormat="1" x14ac:dyDescent="0.45"/>
    <row r="27" s="15" customFormat="1" x14ac:dyDescent="0.45"/>
    <row r="28" s="15" customFormat="1" x14ac:dyDescent="0.45"/>
    <row r="29" s="15" customFormat="1" x14ac:dyDescent="0.45"/>
    <row r="30" s="15" customFormat="1" x14ac:dyDescent="0.45"/>
    <row r="31" s="15" customFormat="1" x14ac:dyDescent="0.45"/>
    <row r="32" s="15" customFormat="1" x14ac:dyDescent="0.45"/>
    <row r="33" s="15" customFormat="1" x14ac:dyDescent="0.45"/>
    <row r="34" s="15" customFormat="1" x14ac:dyDescent="0.45"/>
    <row r="35" s="15" customFormat="1" x14ac:dyDescent="0.45"/>
    <row r="36" s="15" customFormat="1" x14ac:dyDescent="0.45"/>
    <row r="37" s="12" customFormat="1" x14ac:dyDescent="0.45"/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732E-C7F4-496E-8C5C-5AE5CAD3FC93}">
  <sheetPr filterMode="1"/>
  <dimension ref="A1:P223"/>
  <sheetViews>
    <sheetView topLeftCell="A190" workbookViewId="0">
      <selection activeCell="F204" sqref="F204"/>
    </sheetView>
  </sheetViews>
  <sheetFormatPr defaultColWidth="9.1171875" defaultRowHeight="14" x14ac:dyDescent="0.45"/>
  <cols>
    <col min="1" max="1" width="11.1171875" style="3" bestFit="1" customWidth="1"/>
    <col min="2" max="7" width="9.1171875" style="2"/>
    <col min="8" max="8" width="11.9375" bestFit="1" customWidth="1"/>
    <col min="10" max="16384" width="9.1171875" style="2"/>
  </cols>
  <sheetData>
    <row r="1" spans="1:12" x14ac:dyDescent="0.45">
      <c r="A1" s="11" t="s">
        <v>5</v>
      </c>
      <c r="B1" s="10" t="s">
        <v>4</v>
      </c>
      <c r="C1" s="10" t="s">
        <v>3</v>
      </c>
      <c r="D1" s="9" t="s">
        <v>2</v>
      </c>
      <c r="I1" t="s">
        <v>0</v>
      </c>
      <c r="J1" s="10" t="s">
        <v>4</v>
      </c>
      <c r="K1" s="10" t="s">
        <v>3</v>
      </c>
      <c r="L1" s="9" t="s">
        <v>2</v>
      </c>
    </row>
    <row r="2" spans="1:12" hidden="1" x14ac:dyDescent="0.45">
      <c r="A2" s="7">
        <v>45156</v>
      </c>
      <c r="B2" s="6">
        <v>916.3</v>
      </c>
      <c r="C2" s="6">
        <v>936</v>
      </c>
      <c r="D2" s="6">
        <v>936</v>
      </c>
      <c r="H2" s="1">
        <v>44046</v>
      </c>
      <c r="I2">
        <v>1126.6199999999999</v>
      </c>
      <c r="J2" s="2" t="e">
        <f t="shared" ref="J2:J65" si="0">VLOOKUP(H2,$A$1:$D$2230,2,FALSE)</f>
        <v>#N/A</v>
      </c>
      <c r="K2" s="2" t="e">
        <f t="shared" ref="K2:K65" si="1">VLOOKUP(H2,$A$1:$D$2230,3,FALSE)</f>
        <v>#N/A</v>
      </c>
      <c r="L2" s="2" t="e">
        <f t="shared" ref="L2:L65" si="2">VLOOKUP(H2,$A$1:$D$2230,4,FALSE)</f>
        <v>#N/A</v>
      </c>
    </row>
    <row r="3" spans="1:12" hidden="1" x14ac:dyDescent="0.45">
      <c r="A3" s="7">
        <v>45159</v>
      </c>
      <c r="B3" s="6">
        <v>903.2</v>
      </c>
      <c r="C3" s="6">
        <v>958.8</v>
      </c>
      <c r="D3" s="6">
        <v>1017.3</v>
      </c>
      <c r="H3" s="1">
        <v>44053</v>
      </c>
      <c r="I3">
        <v>1141.96</v>
      </c>
      <c r="J3" s="2" t="e">
        <f t="shared" si="0"/>
        <v>#N/A</v>
      </c>
      <c r="K3" s="2" t="e">
        <f t="shared" si="1"/>
        <v>#N/A</v>
      </c>
      <c r="L3" s="2" t="e">
        <f t="shared" si="2"/>
        <v>#N/A</v>
      </c>
    </row>
    <row r="4" spans="1:12" hidden="1" x14ac:dyDescent="0.45">
      <c r="A4" s="7">
        <v>45160</v>
      </c>
      <c r="B4" s="6">
        <v>895.1</v>
      </c>
      <c r="C4" s="6">
        <v>974</v>
      </c>
      <c r="D4" s="6">
        <v>1044</v>
      </c>
      <c r="H4" s="1">
        <v>44060</v>
      </c>
      <c r="I4">
        <v>1164.17</v>
      </c>
      <c r="J4" s="2" t="e">
        <f t="shared" si="0"/>
        <v>#N/A</v>
      </c>
      <c r="K4" s="2" t="e">
        <f t="shared" si="1"/>
        <v>#N/A</v>
      </c>
      <c r="L4" s="2" t="e">
        <f t="shared" si="2"/>
        <v>#N/A</v>
      </c>
    </row>
    <row r="5" spans="1:12" hidden="1" x14ac:dyDescent="0.45">
      <c r="A5" s="7">
        <v>45161</v>
      </c>
      <c r="B5" s="6">
        <v>901.6</v>
      </c>
      <c r="C5" s="6">
        <v>994.3</v>
      </c>
      <c r="D5" s="6">
        <v>1083.5999999999999</v>
      </c>
      <c r="H5" s="1">
        <v>44067</v>
      </c>
      <c r="I5">
        <v>1182.75</v>
      </c>
      <c r="J5" s="2" t="e">
        <f t="shared" si="0"/>
        <v>#N/A</v>
      </c>
      <c r="K5" s="2" t="e">
        <f t="shared" si="1"/>
        <v>#N/A</v>
      </c>
      <c r="L5" s="2" t="e">
        <f t="shared" si="2"/>
        <v>#N/A</v>
      </c>
    </row>
    <row r="6" spans="1:12" hidden="1" x14ac:dyDescent="0.45">
      <c r="A6" s="7">
        <v>45162</v>
      </c>
      <c r="B6" s="6">
        <v>874.8</v>
      </c>
      <c r="C6" s="6">
        <v>951</v>
      </c>
      <c r="D6" s="6">
        <v>1016</v>
      </c>
      <c r="H6" s="1">
        <v>44074</v>
      </c>
      <c r="I6">
        <v>1203.32</v>
      </c>
      <c r="J6" s="2" t="e">
        <f t="shared" si="0"/>
        <v>#N/A</v>
      </c>
      <c r="K6" s="2" t="e">
        <f t="shared" si="1"/>
        <v>#N/A</v>
      </c>
      <c r="L6" s="2" t="e">
        <f t="shared" si="2"/>
        <v>#N/A</v>
      </c>
    </row>
    <row r="7" spans="1:12" hidden="1" x14ac:dyDescent="0.45">
      <c r="A7" s="7">
        <v>45163</v>
      </c>
      <c r="B7" s="6">
        <v>861.5</v>
      </c>
      <c r="C7" s="6">
        <v>937.4</v>
      </c>
      <c r="D7" s="6">
        <v>1006.4</v>
      </c>
      <c r="H7" s="1">
        <v>44081</v>
      </c>
      <c r="I7">
        <v>1285.03</v>
      </c>
      <c r="J7" s="2" t="e">
        <f t="shared" si="0"/>
        <v>#N/A</v>
      </c>
      <c r="K7" s="2" t="e">
        <f t="shared" si="1"/>
        <v>#N/A</v>
      </c>
      <c r="L7" s="2" t="e">
        <f t="shared" si="2"/>
        <v>#N/A</v>
      </c>
    </row>
    <row r="8" spans="1:12" hidden="1" x14ac:dyDescent="0.45">
      <c r="A8" s="7">
        <v>45166</v>
      </c>
      <c r="B8" s="6">
        <v>847.9</v>
      </c>
      <c r="C8" s="6">
        <v>915.6</v>
      </c>
      <c r="D8" s="6">
        <v>983</v>
      </c>
      <c r="H8" s="1">
        <v>44088</v>
      </c>
      <c r="I8">
        <v>1328.53</v>
      </c>
      <c r="J8" s="2" t="e">
        <f t="shared" si="0"/>
        <v>#N/A</v>
      </c>
      <c r="K8" s="2" t="e">
        <f t="shared" si="1"/>
        <v>#N/A</v>
      </c>
      <c r="L8" s="2" t="e">
        <f t="shared" si="2"/>
        <v>#N/A</v>
      </c>
    </row>
    <row r="9" spans="1:12" hidden="1" x14ac:dyDescent="0.45">
      <c r="A9" s="7">
        <v>45167</v>
      </c>
      <c r="B9" s="6">
        <v>855.7</v>
      </c>
      <c r="C9" s="6">
        <v>932</v>
      </c>
      <c r="D9" s="6">
        <v>1003</v>
      </c>
      <c r="H9" s="1">
        <v>44095</v>
      </c>
      <c r="I9">
        <v>1379.2</v>
      </c>
      <c r="J9" s="2" t="e">
        <f t="shared" si="0"/>
        <v>#N/A</v>
      </c>
      <c r="K9" s="2" t="e">
        <f t="shared" si="1"/>
        <v>#N/A</v>
      </c>
      <c r="L9" s="2" t="e">
        <f t="shared" si="2"/>
        <v>#N/A</v>
      </c>
    </row>
    <row r="10" spans="1:12" hidden="1" x14ac:dyDescent="0.45">
      <c r="A10" s="7">
        <v>45168</v>
      </c>
      <c r="B10" s="6">
        <v>864</v>
      </c>
      <c r="C10" s="6">
        <v>940</v>
      </c>
      <c r="D10" s="6">
        <v>1010.6</v>
      </c>
      <c r="H10" s="1">
        <v>44102</v>
      </c>
      <c r="I10">
        <v>1397.68</v>
      </c>
      <c r="J10" s="2" t="e">
        <f t="shared" si="0"/>
        <v>#N/A</v>
      </c>
      <c r="K10" s="2" t="e">
        <f t="shared" si="1"/>
        <v>#N/A</v>
      </c>
      <c r="L10" s="2" t="e">
        <f t="shared" si="2"/>
        <v>#N/A</v>
      </c>
    </row>
    <row r="11" spans="1:12" hidden="1" x14ac:dyDescent="0.45">
      <c r="A11" s="7">
        <v>45169</v>
      </c>
      <c r="B11" s="6">
        <v>857.3</v>
      </c>
      <c r="C11" s="6">
        <v>931.2</v>
      </c>
      <c r="D11" s="6">
        <v>1003</v>
      </c>
      <c r="H11" s="1">
        <v>44109</v>
      </c>
      <c r="I11">
        <v>1485.49</v>
      </c>
      <c r="J11" s="2" t="e">
        <f t="shared" si="0"/>
        <v>#N/A</v>
      </c>
      <c r="K11" s="2" t="e">
        <f t="shared" si="1"/>
        <v>#N/A</v>
      </c>
      <c r="L11" s="2" t="e">
        <f t="shared" si="2"/>
        <v>#N/A</v>
      </c>
    </row>
    <row r="12" spans="1:12" hidden="1" x14ac:dyDescent="0.45">
      <c r="A12" s="7">
        <v>45170</v>
      </c>
      <c r="B12" s="6">
        <v>883.7</v>
      </c>
      <c r="C12" s="6">
        <v>947.4</v>
      </c>
      <c r="D12" s="6">
        <v>1009.7</v>
      </c>
      <c r="H12" s="1">
        <v>44116</v>
      </c>
      <c r="I12">
        <v>1411.22</v>
      </c>
      <c r="J12" s="2" t="e">
        <f t="shared" si="0"/>
        <v>#N/A</v>
      </c>
      <c r="K12" s="2" t="e">
        <f t="shared" si="1"/>
        <v>#N/A</v>
      </c>
      <c r="L12" s="2" t="e">
        <f t="shared" si="2"/>
        <v>#N/A</v>
      </c>
    </row>
    <row r="13" spans="1:12" hidden="1" x14ac:dyDescent="0.45">
      <c r="A13" s="7">
        <v>45173</v>
      </c>
      <c r="B13" s="6">
        <v>877.8</v>
      </c>
      <c r="C13" s="6">
        <v>938.7</v>
      </c>
      <c r="D13" s="6">
        <v>995.9</v>
      </c>
      <c r="H13" s="1">
        <v>44123</v>
      </c>
      <c r="I13">
        <v>1434.25</v>
      </c>
      <c r="J13" s="2" t="e">
        <f t="shared" si="0"/>
        <v>#N/A</v>
      </c>
      <c r="K13" s="2" t="e">
        <f t="shared" si="1"/>
        <v>#N/A</v>
      </c>
      <c r="L13" s="2" t="e">
        <f t="shared" si="2"/>
        <v>#N/A</v>
      </c>
    </row>
    <row r="14" spans="1:12" hidden="1" x14ac:dyDescent="0.45">
      <c r="A14" s="7">
        <v>45174</v>
      </c>
      <c r="B14" s="6">
        <v>969</v>
      </c>
      <c r="C14" s="6">
        <v>1017.8</v>
      </c>
      <c r="D14" s="6">
        <v>1071</v>
      </c>
      <c r="H14" s="1">
        <v>44130</v>
      </c>
      <c r="I14">
        <v>1429.15</v>
      </c>
      <c r="J14" s="2" t="e">
        <f t="shared" si="0"/>
        <v>#N/A</v>
      </c>
      <c r="K14" s="2" t="e">
        <f t="shared" si="1"/>
        <v>#N/A</v>
      </c>
      <c r="L14" s="2" t="e">
        <f t="shared" si="2"/>
        <v>#N/A</v>
      </c>
    </row>
    <row r="15" spans="1:12" hidden="1" x14ac:dyDescent="0.45">
      <c r="A15" s="7">
        <v>45175</v>
      </c>
      <c r="B15" s="6">
        <v>928.6</v>
      </c>
      <c r="C15" s="6">
        <v>996.5</v>
      </c>
      <c r="D15" s="6">
        <v>1060.5</v>
      </c>
      <c r="H15" s="1">
        <v>44137</v>
      </c>
      <c r="I15">
        <v>1431.75</v>
      </c>
      <c r="J15" s="2" t="e">
        <f t="shared" si="0"/>
        <v>#N/A</v>
      </c>
      <c r="K15" s="2" t="e">
        <f t="shared" si="1"/>
        <v>#N/A</v>
      </c>
      <c r="L15" s="2" t="e">
        <f t="shared" si="2"/>
        <v>#N/A</v>
      </c>
    </row>
    <row r="16" spans="1:12" hidden="1" x14ac:dyDescent="0.45">
      <c r="A16" s="7">
        <v>45176</v>
      </c>
      <c r="B16" s="6">
        <v>920.1</v>
      </c>
      <c r="C16" s="6">
        <v>992</v>
      </c>
      <c r="D16" s="6">
        <v>1058.5999999999999</v>
      </c>
      <c r="H16" s="1">
        <v>44144</v>
      </c>
      <c r="I16">
        <v>1456.37</v>
      </c>
      <c r="J16" s="2" t="e">
        <f t="shared" si="0"/>
        <v>#N/A</v>
      </c>
      <c r="K16" s="2" t="e">
        <f t="shared" si="1"/>
        <v>#N/A</v>
      </c>
      <c r="L16" s="2" t="e">
        <f t="shared" si="2"/>
        <v>#N/A</v>
      </c>
    </row>
    <row r="17" spans="1:12" hidden="1" x14ac:dyDescent="0.45">
      <c r="A17" s="7">
        <v>45177</v>
      </c>
      <c r="B17" s="6">
        <v>891</v>
      </c>
      <c r="C17" s="6">
        <v>960.4</v>
      </c>
      <c r="D17" s="6">
        <v>1031</v>
      </c>
      <c r="H17" s="1">
        <v>44151</v>
      </c>
      <c r="I17">
        <v>1515.03</v>
      </c>
      <c r="J17" s="2" t="e">
        <f t="shared" si="0"/>
        <v>#N/A</v>
      </c>
      <c r="K17" s="2" t="e">
        <f t="shared" si="1"/>
        <v>#N/A</v>
      </c>
      <c r="L17" s="2" t="e">
        <f t="shared" si="2"/>
        <v>#N/A</v>
      </c>
    </row>
    <row r="18" spans="1:12" hidden="1" x14ac:dyDescent="0.45">
      <c r="A18" s="7">
        <v>45180</v>
      </c>
      <c r="B18" s="6">
        <v>905.3</v>
      </c>
      <c r="C18" s="6">
        <v>973.8</v>
      </c>
      <c r="D18" s="6">
        <v>1038.3</v>
      </c>
      <c r="H18" s="1">
        <v>44158</v>
      </c>
      <c r="I18">
        <v>1736.34</v>
      </c>
      <c r="J18" s="2" t="e">
        <f t="shared" si="0"/>
        <v>#N/A</v>
      </c>
      <c r="K18" s="2" t="e">
        <f t="shared" si="1"/>
        <v>#N/A</v>
      </c>
      <c r="L18" s="2" t="e">
        <f t="shared" si="2"/>
        <v>#N/A</v>
      </c>
    </row>
    <row r="19" spans="1:12" hidden="1" x14ac:dyDescent="0.45">
      <c r="A19" s="7">
        <v>45181</v>
      </c>
      <c r="B19" s="6">
        <v>905.3</v>
      </c>
      <c r="C19" s="6">
        <v>972.6</v>
      </c>
      <c r="D19" s="6">
        <v>1036.8</v>
      </c>
      <c r="H19" s="1">
        <v>44165</v>
      </c>
      <c r="I19">
        <v>2165.29</v>
      </c>
      <c r="J19" s="2" t="e">
        <f t="shared" si="0"/>
        <v>#N/A</v>
      </c>
      <c r="K19" s="2" t="e">
        <f t="shared" si="1"/>
        <v>#N/A</v>
      </c>
      <c r="L19" s="2" t="e">
        <f t="shared" si="2"/>
        <v>#N/A</v>
      </c>
    </row>
    <row r="20" spans="1:12" hidden="1" x14ac:dyDescent="0.45">
      <c r="A20" s="7">
        <v>45182</v>
      </c>
      <c r="B20" s="6">
        <v>876.4</v>
      </c>
      <c r="C20" s="6">
        <v>943.4</v>
      </c>
      <c r="D20" s="6">
        <v>1009.7</v>
      </c>
      <c r="H20" s="1">
        <v>44172</v>
      </c>
      <c r="I20">
        <v>2509.2399999999998</v>
      </c>
      <c r="J20" s="2" t="e">
        <f t="shared" si="0"/>
        <v>#N/A</v>
      </c>
      <c r="K20" s="2" t="e">
        <f t="shared" si="1"/>
        <v>#N/A</v>
      </c>
      <c r="L20" s="2" t="e">
        <f t="shared" si="2"/>
        <v>#N/A</v>
      </c>
    </row>
    <row r="21" spans="1:12" hidden="1" x14ac:dyDescent="0.45">
      <c r="A21" s="7">
        <v>45183</v>
      </c>
      <c r="B21" s="6">
        <v>870.5</v>
      </c>
      <c r="C21" s="6">
        <v>931.9</v>
      </c>
      <c r="D21" s="6">
        <v>991.8</v>
      </c>
      <c r="H21" s="1">
        <v>44179</v>
      </c>
      <c r="I21">
        <v>3093.87</v>
      </c>
      <c r="J21" s="2" t="e">
        <f t="shared" si="0"/>
        <v>#N/A</v>
      </c>
      <c r="K21" s="2" t="e">
        <f t="shared" si="1"/>
        <v>#N/A</v>
      </c>
      <c r="L21" s="2" t="e">
        <f t="shared" si="2"/>
        <v>#N/A</v>
      </c>
    </row>
    <row r="22" spans="1:12" hidden="1" x14ac:dyDescent="0.45">
      <c r="A22" s="7">
        <v>45184</v>
      </c>
      <c r="B22" s="6">
        <v>884.5</v>
      </c>
      <c r="C22" s="6">
        <v>940.1</v>
      </c>
      <c r="D22" s="6">
        <v>999</v>
      </c>
      <c r="H22" s="1">
        <v>44186</v>
      </c>
      <c r="I22">
        <v>3771.99</v>
      </c>
      <c r="J22" s="2" t="e">
        <f t="shared" si="0"/>
        <v>#N/A</v>
      </c>
      <c r="K22" s="2" t="e">
        <f t="shared" si="1"/>
        <v>#N/A</v>
      </c>
      <c r="L22" s="2" t="e">
        <f t="shared" si="2"/>
        <v>#N/A</v>
      </c>
    </row>
    <row r="23" spans="1:12" hidden="1" x14ac:dyDescent="0.45">
      <c r="A23" s="7">
        <v>45187</v>
      </c>
      <c r="B23" s="6">
        <v>897.7</v>
      </c>
      <c r="C23" s="6">
        <v>954.5</v>
      </c>
      <c r="D23" s="6">
        <v>1009</v>
      </c>
      <c r="H23" s="1">
        <v>44193</v>
      </c>
      <c r="I23">
        <v>4270.1899999999996</v>
      </c>
      <c r="J23" s="2" t="e">
        <f t="shared" si="0"/>
        <v>#N/A</v>
      </c>
      <c r="K23" s="2" t="e">
        <f t="shared" si="1"/>
        <v>#N/A</v>
      </c>
      <c r="L23" s="2" t="e">
        <f t="shared" si="2"/>
        <v>#N/A</v>
      </c>
    </row>
    <row r="24" spans="1:12" hidden="1" x14ac:dyDescent="0.45">
      <c r="A24" s="7">
        <v>45188</v>
      </c>
      <c r="B24" s="6">
        <v>894.9</v>
      </c>
      <c r="C24" s="6">
        <v>947.4</v>
      </c>
      <c r="D24" s="6">
        <v>994</v>
      </c>
      <c r="H24" s="1">
        <v>44200</v>
      </c>
      <c r="I24">
        <v>4851.3900000000003</v>
      </c>
      <c r="J24" s="2" t="e">
        <f t="shared" si="0"/>
        <v>#N/A</v>
      </c>
      <c r="K24" s="2" t="e">
        <f t="shared" si="1"/>
        <v>#N/A</v>
      </c>
      <c r="L24" s="2" t="e">
        <f t="shared" si="2"/>
        <v>#N/A</v>
      </c>
    </row>
    <row r="25" spans="1:12" hidden="1" x14ac:dyDescent="0.45">
      <c r="A25" s="7">
        <v>45189</v>
      </c>
      <c r="B25" s="6">
        <v>908.7</v>
      </c>
      <c r="C25" s="6">
        <v>957.4</v>
      </c>
      <c r="D25" s="6">
        <v>1006</v>
      </c>
      <c r="H25" s="1">
        <v>44207</v>
      </c>
      <c r="I25">
        <v>5863.21</v>
      </c>
      <c r="J25" s="2" t="e">
        <f t="shared" si="0"/>
        <v>#N/A</v>
      </c>
      <c r="K25" s="2" t="e">
        <f t="shared" si="1"/>
        <v>#N/A</v>
      </c>
      <c r="L25" s="2" t="e">
        <f t="shared" si="2"/>
        <v>#N/A</v>
      </c>
    </row>
    <row r="26" spans="1:12" hidden="1" x14ac:dyDescent="0.45">
      <c r="A26" s="7">
        <v>45190</v>
      </c>
      <c r="B26" s="6">
        <v>882</v>
      </c>
      <c r="C26" s="6">
        <v>929.9</v>
      </c>
      <c r="D26" s="6">
        <v>979.1</v>
      </c>
      <c r="H26" s="1">
        <v>44214</v>
      </c>
      <c r="I26">
        <v>5872.07</v>
      </c>
      <c r="J26" s="2" t="e">
        <f t="shared" si="0"/>
        <v>#N/A</v>
      </c>
      <c r="K26" s="2" t="e">
        <f t="shared" si="1"/>
        <v>#N/A</v>
      </c>
      <c r="L26" s="2" t="e">
        <f t="shared" si="2"/>
        <v>#N/A</v>
      </c>
    </row>
    <row r="27" spans="1:12" hidden="1" x14ac:dyDescent="0.45">
      <c r="A27" s="7">
        <v>45191</v>
      </c>
      <c r="B27" s="6">
        <v>877.8</v>
      </c>
      <c r="C27" s="6">
        <v>933.3</v>
      </c>
      <c r="D27" s="6">
        <v>985</v>
      </c>
      <c r="H27" s="1">
        <v>44221</v>
      </c>
      <c r="I27">
        <v>6177.15</v>
      </c>
      <c r="J27" s="2" t="e">
        <f t="shared" si="0"/>
        <v>#N/A</v>
      </c>
      <c r="K27" s="2" t="e">
        <f t="shared" si="1"/>
        <v>#N/A</v>
      </c>
      <c r="L27" s="2" t="e">
        <f t="shared" si="2"/>
        <v>#N/A</v>
      </c>
    </row>
    <row r="28" spans="1:12" hidden="1" x14ac:dyDescent="0.45">
      <c r="A28" s="7">
        <v>45194</v>
      </c>
      <c r="B28" s="6">
        <v>834.1</v>
      </c>
      <c r="C28" s="6">
        <v>895.8</v>
      </c>
      <c r="D28" s="6">
        <v>958.6</v>
      </c>
      <c r="H28" s="1">
        <v>44228</v>
      </c>
      <c r="I28">
        <v>5947.64</v>
      </c>
      <c r="J28" s="2" t="e">
        <f t="shared" si="0"/>
        <v>#N/A</v>
      </c>
      <c r="K28" s="2" t="e">
        <f t="shared" si="1"/>
        <v>#N/A</v>
      </c>
      <c r="L28" s="2" t="e">
        <f t="shared" si="2"/>
        <v>#N/A</v>
      </c>
    </row>
    <row r="29" spans="1:12" hidden="1" x14ac:dyDescent="0.45">
      <c r="A29" s="7">
        <v>45195</v>
      </c>
      <c r="B29" s="6">
        <v>773.7</v>
      </c>
      <c r="C29" s="6">
        <v>829.8</v>
      </c>
      <c r="D29" s="6">
        <v>880.6</v>
      </c>
      <c r="H29" s="1">
        <v>44235</v>
      </c>
      <c r="I29">
        <v>5920.05</v>
      </c>
      <c r="J29" s="2" t="e">
        <f t="shared" si="0"/>
        <v>#N/A</v>
      </c>
      <c r="K29" s="2" t="e">
        <f t="shared" si="1"/>
        <v>#N/A</v>
      </c>
      <c r="L29" s="2" t="e">
        <f t="shared" si="2"/>
        <v>#N/A</v>
      </c>
    </row>
    <row r="30" spans="1:12" hidden="1" x14ac:dyDescent="0.45">
      <c r="A30" s="7">
        <v>45196</v>
      </c>
      <c r="B30" s="6">
        <v>753.4</v>
      </c>
      <c r="C30" s="6">
        <v>792</v>
      </c>
      <c r="D30" s="6">
        <v>854</v>
      </c>
      <c r="H30" s="1">
        <v>44245</v>
      </c>
      <c r="I30">
        <v>5987.75</v>
      </c>
      <c r="J30" s="2" t="e">
        <f t="shared" si="0"/>
        <v>#N/A</v>
      </c>
      <c r="K30" s="2" t="e">
        <f t="shared" si="1"/>
        <v>#N/A</v>
      </c>
      <c r="L30" s="2" t="e">
        <f t="shared" si="2"/>
        <v>#N/A</v>
      </c>
    </row>
    <row r="31" spans="1:12" hidden="1" x14ac:dyDescent="0.45">
      <c r="A31" s="7">
        <v>45197</v>
      </c>
      <c r="B31" s="6">
        <v>716.9</v>
      </c>
      <c r="C31" s="6">
        <v>748.2</v>
      </c>
      <c r="D31" s="6">
        <v>837</v>
      </c>
      <c r="H31" s="1">
        <v>44249</v>
      </c>
      <c r="I31">
        <v>5879.4</v>
      </c>
      <c r="J31" s="2" t="e">
        <f t="shared" si="0"/>
        <v>#N/A</v>
      </c>
      <c r="K31" s="2" t="e">
        <f t="shared" si="1"/>
        <v>#N/A</v>
      </c>
      <c r="L31" s="2" t="e">
        <f t="shared" si="2"/>
        <v>#N/A</v>
      </c>
    </row>
    <row r="32" spans="1:12" hidden="1" x14ac:dyDescent="0.45">
      <c r="A32" s="7">
        <v>45208</v>
      </c>
      <c r="B32" s="6">
        <v>737</v>
      </c>
      <c r="C32" s="6">
        <v>768.8</v>
      </c>
      <c r="D32" s="6">
        <v>858.1</v>
      </c>
      <c r="H32" s="1">
        <v>44256</v>
      </c>
      <c r="I32">
        <v>5661.26</v>
      </c>
      <c r="J32" s="2" t="e">
        <f t="shared" si="0"/>
        <v>#N/A</v>
      </c>
      <c r="K32" s="2" t="e">
        <f t="shared" si="1"/>
        <v>#N/A</v>
      </c>
      <c r="L32" s="2" t="e">
        <f t="shared" si="2"/>
        <v>#N/A</v>
      </c>
    </row>
    <row r="33" spans="1:12" hidden="1" x14ac:dyDescent="0.45">
      <c r="A33" s="7">
        <v>45209</v>
      </c>
      <c r="B33" s="6">
        <v>727.2</v>
      </c>
      <c r="C33" s="6">
        <v>752.8</v>
      </c>
      <c r="D33" s="6">
        <v>831.7</v>
      </c>
      <c r="H33" s="1">
        <v>44263</v>
      </c>
      <c r="I33">
        <v>5702.17</v>
      </c>
      <c r="J33" s="2" t="e">
        <f t="shared" si="0"/>
        <v>#N/A</v>
      </c>
      <c r="K33" s="2" t="e">
        <f t="shared" si="1"/>
        <v>#N/A</v>
      </c>
      <c r="L33" s="2" t="e">
        <f t="shared" si="2"/>
        <v>#N/A</v>
      </c>
    </row>
    <row r="34" spans="1:12" hidden="1" x14ac:dyDescent="0.45">
      <c r="A34" s="7">
        <v>45210</v>
      </c>
      <c r="B34" s="6">
        <v>744</v>
      </c>
      <c r="C34" s="6">
        <v>780.9</v>
      </c>
      <c r="D34" s="6">
        <v>855.8</v>
      </c>
      <c r="H34" s="1">
        <v>44270</v>
      </c>
      <c r="I34">
        <v>5440.14</v>
      </c>
      <c r="J34" s="2" t="e">
        <f t="shared" si="0"/>
        <v>#N/A</v>
      </c>
      <c r="K34" s="2" t="e">
        <f t="shared" si="1"/>
        <v>#N/A</v>
      </c>
      <c r="L34" s="2" t="e">
        <f t="shared" si="2"/>
        <v>#N/A</v>
      </c>
    </row>
    <row r="35" spans="1:12" hidden="1" x14ac:dyDescent="0.45">
      <c r="A35" s="7">
        <v>45211</v>
      </c>
      <c r="B35" s="6">
        <v>786.5</v>
      </c>
      <c r="C35" s="6">
        <v>829.1</v>
      </c>
      <c r="D35" s="6">
        <v>906.5</v>
      </c>
      <c r="H35" s="1">
        <v>44277</v>
      </c>
      <c r="I35">
        <v>5276.42</v>
      </c>
      <c r="J35" s="2" t="e">
        <f t="shared" si="0"/>
        <v>#N/A</v>
      </c>
      <c r="K35" s="2" t="e">
        <f t="shared" si="1"/>
        <v>#N/A</v>
      </c>
      <c r="L35" s="2" t="e">
        <f t="shared" si="2"/>
        <v>#N/A</v>
      </c>
    </row>
    <row r="36" spans="1:12" hidden="1" x14ac:dyDescent="0.45">
      <c r="A36" s="7">
        <v>45212</v>
      </c>
      <c r="B36" s="6">
        <v>781.8</v>
      </c>
      <c r="C36" s="6">
        <v>814.5</v>
      </c>
      <c r="D36" s="6">
        <v>895.4</v>
      </c>
      <c r="H36" s="1">
        <v>44284</v>
      </c>
      <c r="I36">
        <v>4969.8</v>
      </c>
      <c r="J36" s="2" t="e">
        <f t="shared" si="0"/>
        <v>#N/A</v>
      </c>
      <c r="K36" s="2" t="e">
        <f t="shared" si="1"/>
        <v>#N/A</v>
      </c>
      <c r="L36" s="2" t="e">
        <f t="shared" si="2"/>
        <v>#N/A</v>
      </c>
    </row>
    <row r="37" spans="1:12" hidden="1" x14ac:dyDescent="0.45">
      <c r="A37" s="7">
        <v>45215</v>
      </c>
      <c r="B37" s="6">
        <v>781.7</v>
      </c>
      <c r="C37" s="6">
        <v>804</v>
      </c>
      <c r="D37" s="6">
        <v>880</v>
      </c>
      <c r="H37" s="1">
        <v>44291</v>
      </c>
      <c r="I37">
        <v>5202.1899999999996</v>
      </c>
      <c r="J37" s="2" t="e">
        <f t="shared" si="0"/>
        <v>#N/A</v>
      </c>
      <c r="K37" s="2" t="e">
        <f t="shared" si="1"/>
        <v>#N/A</v>
      </c>
      <c r="L37" s="2" t="e">
        <f t="shared" si="2"/>
        <v>#N/A</v>
      </c>
    </row>
    <row r="38" spans="1:12" hidden="1" x14ac:dyDescent="0.45">
      <c r="A38" s="7">
        <v>45216</v>
      </c>
      <c r="B38" s="6">
        <v>723.6</v>
      </c>
      <c r="C38" s="6">
        <v>747.8</v>
      </c>
      <c r="D38" s="6">
        <v>815.2</v>
      </c>
      <c r="H38" s="1">
        <v>44298</v>
      </c>
      <c r="I38">
        <v>5001.83</v>
      </c>
      <c r="J38" s="2" t="e">
        <f t="shared" si="0"/>
        <v>#N/A</v>
      </c>
      <c r="K38" s="2" t="e">
        <f t="shared" si="1"/>
        <v>#N/A</v>
      </c>
      <c r="L38" s="2" t="e">
        <f t="shared" si="2"/>
        <v>#N/A</v>
      </c>
    </row>
    <row r="39" spans="1:12" hidden="1" x14ac:dyDescent="0.45">
      <c r="A39" s="7">
        <v>45217</v>
      </c>
      <c r="B39" s="6">
        <v>732.7</v>
      </c>
      <c r="C39" s="6">
        <v>743.7</v>
      </c>
      <c r="D39" s="6">
        <v>820.5</v>
      </c>
      <c r="H39" s="1">
        <v>44305</v>
      </c>
      <c r="I39">
        <v>5118.6400000000003</v>
      </c>
      <c r="J39" s="2" t="e">
        <f t="shared" si="0"/>
        <v>#N/A</v>
      </c>
      <c r="K39" s="2" t="e">
        <f t="shared" si="1"/>
        <v>#N/A</v>
      </c>
      <c r="L39" s="2" t="e">
        <f t="shared" si="2"/>
        <v>#N/A</v>
      </c>
    </row>
    <row r="40" spans="1:12" hidden="1" x14ac:dyDescent="0.45">
      <c r="A40" s="7">
        <v>45218</v>
      </c>
      <c r="B40" s="6">
        <v>756.9</v>
      </c>
      <c r="C40" s="6">
        <v>780.4</v>
      </c>
      <c r="D40" s="6">
        <v>860.1</v>
      </c>
      <c r="H40" s="1">
        <v>44312</v>
      </c>
      <c r="I40">
        <v>5457.5</v>
      </c>
      <c r="J40" s="2" t="e">
        <f t="shared" si="0"/>
        <v>#N/A</v>
      </c>
      <c r="K40" s="2" t="e">
        <f t="shared" si="1"/>
        <v>#N/A</v>
      </c>
      <c r="L40" s="2" t="e">
        <f t="shared" si="2"/>
        <v>#N/A</v>
      </c>
    </row>
    <row r="41" spans="1:12" hidden="1" x14ac:dyDescent="0.45">
      <c r="A41" s="7">
        <v>45219</v>
      </c>
      <c r="B41" s="6">
        <v>736.4</v>
      </c>
      <c r="C41" s="6">
        <v>765.6</v>
      </c>
      <c r="D41" s="6">
        <v>849.2</v>
      </c>
      <c r="H41" s="1">
        <v>44319</v>
      </c>
      <c r="I41">
        <v>5817.28</v>
      </c>
      <c r="J41" s="2" t="e">
        <f t="shared" si="0"/>
        <v>#N/A</v>
      </c>
      <c r="K41" s="2" t="e">
        <f t="shared" si="1"/>
        <v>#N/A</v>
      </c>
      <c r="L41" s="2" t="e">
        <f t="shared" si="2"/>
        <v>#N/A</v>
      </c>
    </row>
    <row r="42" spans="1:12" hidden="1" x14ac:dyDescent="0.45">
      <c r="A42" s="7">
        <v>45222</v>
      </c>
      <c r="B42" s="6">
        <v>757.8</v>
      </c>
      <c r="C42" s="6">
        <v>786.6</v>
      </c>
      <c r="D42" s="6">
        <v>865.8</v>
      </c>
      <c r="H42" s="1">
        <v>44326</v>
      </c>
      <c r="I42">
        <v>6228.12</v>
      </c>
      <c r="J42" s="2" t="e">
        <f t="shared" si="0"/>
        <v>#N/A</v>
      </c>
      <c r="K42" s="2" t="e">
        <f t="shared" si="1"/>
        <v>#N/A</v>
      </c>
      <c r="L42" s="2" t="e">
        <f t="shared" si="2"/>
        <v>#N/A</v>
      </c>
    </row>
    <row r="43" spans="1:12" hidden="1" x14ac:dyDescent="0.45">
      <c r="A43" s="7">
        <v>45223</v>
      </c>
      <c r="B43" s="6">
        <v>770.4</v>
      </c>
      <c r="C43" s="6">
        <v>798</v>
      </c>
      <c r="D43" s="6">
        <v>872.1</v>
      </c>
      <c r="H43" s="1">
        <v>44333</v>
      </c>
      <c r="I43">
        <v>6490</v>
      </c>
      <c r="J43" s="2" t="e">
        <f t="shared" si="0"/>
        <v>#N/A</v>
      </c>
      <c r="K43" s="2" t="e">
        <f t="shared" si="1"/>
        <v>#N/A</v>
      </c>
      <c r="L43" s="2" t="e">
        <f t="shared" si="2"/>
        <v>#N/A</v>
      </c>
    </row>
    <row r="44" spans="1:12" hidden="1" x14ac:dyDescent="0.45">
      <c r="A44" s="7">
        <v>45224</v>
      </c>
      <c r="B44" s="6">
        <v>746.1</v>
      </c>
      <c r="C44" s="6">
        <v>767.7</v>
      </c>
      <c r="D44" s="6">
        <v>848.6</v>
      </c>
      <c r="H44" s="1">
        <v>44340</v>
      </c>
      <c r="I44">
        <v>6776.45</v>
      </c>
      <c r="J44" s="2" t="e">
        <f t="shared" si="0"/>
        <v>#N/A</v>
      </c>
      <c r="K44" s="2" t="e">
        <f t="shared" si="1"/>
        <v>#N/A</v>
      </c>
      <c r="L44" s="2" t="e">
        <f t="shared" si="2"/>
        <v>#N/A</v>
      </c>
    </row>
    <row r="45" spans="1:12" hidden="1" x14ac:dyDescent="0.45">
      <c r="A45" s="7">
        <v>45225</v>
      </c>
      <c r="B45" s="6">
        <v>758.8</v>
      </c>
      <c r="C45" s="6">
        <v>784.1</v>
      </c>
      <c r="D45" s="6">
        <v>863.7</v>
      </c>
      <c r="H45" s="1">
        <v>44347</v>
      </c>
      <c r="I45">
        <v>7240.02</v>
      </c>
      <c r="J45" s="2" t="e">
        <f t="shared" si="0"/>
        <v>#N/A</v>
      </c>
      <c r="K45" s="2" t="e">
        <f t="shared" si="1"/>
        <v>#N/A</v>
      </c>
      <c r="L45" s="2" t="e">
        <f t="shared" si="2"/>
        <v>#N/A</v>
      </c>
    </row>
    <row r="46" spans="1:12" hidden="1" x14ac:dyDescent="0.45">
      <c r="A46" s="7">
        <v>45226</v>
      </c>
      <c r="B46" s="6">
        <v>762.1</v>
      </c>
      <c r="C46" s="6">
        <v>786</v>
      </c>
      <c r="D46" s="6">
        <v>866.9</v>
      </c>
      <c r="H46" s="1">
        <v>44354</v>
      </c>
      <c r="I46">
        <v>7472.27</v>
      </c>
      <c r="J46" s="2" t="e">
        <f t="shared" si="0"/>
        <v>#N/A</v>
      </c>
      <c r="K46" s="2" t="e">
        <f t="shared" si="1"/>
        <v>#N/A</v>
      </c>
      <c r="L46" s="2" t="e">
        <f t="shared" si="2"/>
        <v>#N/A</v>
      </c>
    </row>
    <row r="47" spans="1:12" hidden="1" x14ac:dyDescent="0.45">
      <c r="A47" s="7">
        <v>45229</v>
      </c>
      <c r="B47" s="6">
        <v>794</v>
      </c>
      <c r="C47" s="6">
        <v>817.3</v>
      </c>
      <c r="D47" s="6">
        <v>896.5</v>
      </c>
      <c r="H47" s="1">
        <v>44361</v>
      </c>
      <c r="I47">
        <v>7671.69</v>
      </c>
      <c r="J47" s="2" t="e">
        <f t="shared" si="0"/>
        <v>#N/A</v>
      </c>
      <c r="K47" s="2" t="e">
        <f t="shared" si="1"/>
        <v>#N/A</v>
      </c>
      <c r="L47" s="2" t="e">
        <f t="shared" si="2"/>
        <v>#N/A</v>
      </c>
    </row>
    <row r="48" spans="1:12" hidden="1" x14ac:dyDescent="0.45">
      <c r="A48" s="7">
        <v>45230</v>
      </c>
      <c r="B48" s="6">
        <v>780.9</v>
      </c>
      <c r="C48" s="6">
        <v>795.4</v>
      </c>
      <c r="D48" s="6">
        <v>873.3</v>
      </c>
      <c r="H48" s="1">
        <v>44368</v>
      </c>
      <c r="I48">
        <v>7892.17</v>
      </c>
      <c r="J48" s="2" t="e">
        <f t="shared" si="0"/>
        <v>#N/A</v>
      </c>
      <c r="K48" s="2" t="e">
        <f t="shared" si="1"/>
        <v>#N/A</v>
      </c>
      <c r="L48" s="2" t="e">
        <f t="shared" si="2"/>
        <v>#N/A</v>
      </c>
    </row>
    <row r="49" spans="1:12" hidden="1" x14ac:dyDescent="0.45">
      <c r="A49" s="7">
        <v>45231</v>
      </c>
      <c r="B49" s="6">
        <v>782.8</v>
      </c>
      <c r="C49" s="6">
        <v>799.2</v>
      </c>
      <c r="D49" s="6">
        <v>875</v>
      </c>
      <c r="H49" s="1">
        <v>44375</v>
      </c>
      <c r="I49">
        <v>8378.26</v>
      </c>
      <c r="J49" s="2" t="e">
        <f t="shared" si="0"/>
        <v>#N/A</v>
      </c>
      <c r="K49" s="2" t="e">
        <f t="shared" si="1"/>
        <v>#N/A</v>
      </c>
      <c r="L49" s="2" t="e">
        <f t="shared" si="2"/>
        <v>#N/A</v>
      </c>
    </row>
    <row r="50" spans="1:12" hidden="1" x14ac:dyDescent="0.45">
      <c r="A50" s="7">
        <v>45232</v>
      </c>
      <c r="B50" s="6">
        <v>756.4</v>
      </c>
      <c r="C50" s="6">
        <v>772.3</v>
      </c>
      <c r="D50" s="6">
        <v>855</v>
      </c>
      <c r="H50" s="1">
        <v>44382</v>
      </c>
      <c r="I50">
        <v>8374.6200000000008</v>
      </c>
      <c r="J50" s="2" t="e">
        <f t="shared" si="0"/>
        <v>#N/A</v>
      </c>
      <c r="K50" s="2" t="e">
        <f t="shared" si="1"/>
        <v>#N/A</v>
      </c>
      <c r="L50" s="2" t="e">
        <f t="shared" si="2"/>
        <v>#N/A</v>
      </c>
    </row>
    <row r="51" spans="1:12" hidden="1" x14ac:dyDescent="0.45">
      <c r="A51" s="7">
        <v>45233</v>
      </c>
      <c r="B51" s="6">
        <v>768.1</v>
      </c>
      <c r="C51" s="6">
        <v>789</v>
      </c>
      <c r="D51" s="6">
        <v>869.7</v>
      </c>
      <c r="H51" s="1">
        <v>44389</v>
      </c>
      <c r="I51">
        <v>8637.66</v>
      </c>
      <c r="J51" s="2" t="e">
        <f t="shared" si="0"/>
        <v>#N/A</v>
      </c>
      <c r="K51" s="2" t="e">
        <f t="shared" si="1"/>
        <v>#N/A</v>
      </c>
      <c r="L51" s="2" t="e">
        <f t="shared" si="2"/>
        <v>#N/A</v>
      </c>
    </row>
    <row r="52" spans="1:12" hidden="1" x14ac:dyDescent="0.45">
      <c r="A52" s="7">
        <v>45236</v>
      </c>
      <c r="B52" s="6">
        <v>763.4</v>
      </c>
      <c r="C52" s="6">
        <v>788.2</v>
      </c>
      <c r="D52" s="6">
        <v>869.4</v>
      </c>
      <c r="H52" s="1">
        <v>44396</v>
      </c>
      <c r="I52">
        <v>9129.08</v>
      </c>
      <c r="J52" s="2" t="e">
        <f t="shared" si="0"/>
        <v>#N/A</v>
      </c>
      <c r="K52" s="2" t="e">
        <f t="shared" si="1"/>
        <v>#N/A</v>
      </c>
      <c r="L52" s="2" t="e">
        <f t="shared" si="2"/>
        <v>#N/A</v>
      </c>
    </row>
    <row r="53" spans="1:12" hidden="1" x14ac:dyDescent="0.45">
      <c r="A53" s="7">
        <v>45237</v>
      </c>
      <c r="B53" s="6">
        <v>718.9</v>
      </c>
      <c r="C53" s="6">
        <v>753.1</v>
      </c>
      <c r="D53" s="6">
        <v>840</v>
      </c>
      <c r="H53" s="1">
        <v>44403</v>
      </c>
      <c r="I53">
        <v>8610.92</v>
      </c>
      <c r="J53" s="2" t="e">
        <f t="shared" si="0"/>
        <v>#N/A</v>
      </c>
      <c r="K53" s="2" t="e">
        <f t="shared" si="1"/>
        <v>#N/A</v>
      </c>
      <c r="L53" s="2" t="e">
        <f t="shared" si="2"/>
        <v>#N/A</v>
      </c>
    </row>
    <row r="54" spans="1:12" hidden="1" x14ac:dyDescent="0.45">
      <c r="A54" s="7">
        <v>45238</v>
      </c>
      <c r="B54" s="6">
        <v>727.9</v>
      </c>
      <c r="C54" s="6">
        <v>759.2</v>
      </c>
      <c r="D54" s="6">
        <v>846.4</v>
      </c>
      <c r="H54" s="1">
        <v>44410</v>
      </c>
      <c r="I54">
        <v>9715.75</v>
      </c>
      <c r="J54" s="2" t="e">
        <f t="shared" si="0"/>
        <v>#N/A</v>
      </c>
      <c r="K54" s="2" t="e">
        <f t="shared" si="1"/>
        <v>#N/A</v>
      </c>
      <c r="L54" s="2" t="e">
        <f t="shared" si="2"/>
        <v>#N/A</v>
      </c>
    </row>
    <row r="55" spans="1:12" hidden="1" x14ac:dyDescent="0.45">
      <c r="A55" s="7">
        <v>45239</v>
      </c>
      <c r="B55" s="6">
        <v>719.4</v>
      </c>
      <c r="C55" s="6">
        <v>747.5</v>
      </c>
      <c r="D55" s="6">
        <v>835.9</v>
      </c>
      <c r="H55" s="1">
        <v>44417</v>
      </c>
      <c r="I55">
        <v>9511.51</v>
      </c>
      <c r="J55" s="2" t="e">
        <f t="shared" si="0"/>
        <v>#N/A</v>
      </c>
      <c r="K55" s="2" t="e">
        <f t="shared" si="1"/>
        <v>#N/A</v>
      </c>
      <c r="L55" s="2" t="e">
        <f t="shared" si="2"/>
        <v>#N/A</v>
      </c>
    </row>
    <row r="56" spans="1:12" hidden="1" x14ac:dyDescent="0.45">
      <c r="A56" s="7">
        <v>45240</v>
      </c>
      <c r="B56" s="6">
        <v>737.9</v>
      </c>
      <c r="C56" s="6">
        <v>763.7</v>
      </c>
      <c r="D56" s="6">
        <v>850.3</v>
      </c>
      <c r="H56" s="1">
        <v>44424</v>
      </c>
      <c r="I56">
        <v>9727.4500000000007</v>
      </c>
      <c r="J56" s="2" t="e">
        <f t="shared" si="0"/>
        <v>#N/A</v>
      </c>
      <c r="K56" s="2" t="e">
        <f t="shared" si="1"/>
        <v>#N/A</v>
      </c>
      <c r="L56" s="2" t="e">
        <f t="shared" si="2"/>
        <v>#N/A</v>
      </c>
    </row>
    <row r="57" spans="1:12" hidden="1" x14ac:dyDescent="0.45">
      <c r="A57" s="7">
        <v>45243</v>
      </c>
      <c r="B57" s="6">
        <v>737.3</v>
      </c>
      <c r="C57" s="6">
        <v>765.5</v>
      </c>
      <c r="D57" s="6">
        <v>852.9</v>
      </c>
      <c r="H57" s="1">
        <v>44431</v>
      </c>
      <c r="I57">
        <v>9741.8799999999992</v>
      </c>
      <c r="J57" s="2" t="e">
        <f t="shared" si="0"/>
        <v>#N/A</v>
      </c>
      <c r="K57" s="2" t="e">
        <f t="shared" si="1"/>
        <v>#N/A</v>
      </c>
      <c r="L57" s="2" t="e">
        <f t="shared" si="2"/>
        <v>#N/A</v>
      </c>
    </row>
    <row r="58" spans="1:12" hidden="1" x14ac:dyDescent="0.45">
      <c r="A58" s="7">
        <v>45244</v>
      </c>
      <c r="B58" s="6">
        <v>759.8</v>
      </c>
      <c r="C58" s="6">
        <v>787.1</v>
      </c>
      <c r="D58" s="6">
        <v>877</v>
      </c>
      <c r="H58" s="1">
        <v>44438</v>
      </c>
      <c r="I58">
        <v>9949.52</v>
      </c>
      <c r="J58" s="2" t="e">
        <f t="shared" si="0"/>
        <v>#N/A</v>
      </c>
      <c r="K58" s="2" t="e">
        <f t="shared" si="1"/>
        <v>#N/A</v>
      </c>
      <c r="L58" s="2" t="e">
        <f t="shared" si="2"/>
        <v>#N/A</v>
      </c>
    </row>
    <row r="59" spans="1:12" hidden="1" x14ac:dyDescent="0.45">
      <c r="A59" s="7">
        <v>45245</v>
      </c>
      <c r="B59" s="6">
        <v>767</v>
      </c>
      <c r="C59" s="6">
        <v>794.8</v>
      </c>
      <c r="D59" s="6">
        <v>885</v>
      </c>
      <c r="H59" s="1">
        <v>44445</v>
      </c>
      <c r="I59">
        <v>9856.64</v>
      </c>
      <c r="J59" s="2" t="e">
        <f t="shared" si="0"/>
        <v>#N/A</v>
      </c>
      <c r="K59" s="2" t="e">
        <f t="shared" si="1"/>
        <v>#N/A</v>
      </c>
      <c r="L59" s="2" t="e">
        <f t="shared" si="2"/>
        <v>#N/A</v>
      </c>
    </row>
    <row r="60" spans="1:12" hidden="1" x14ac:dyDescent="0.45">
      <c r="A60" s="7">
        <v>45246</v>
      </c>
      <c r="B60" s="6">
        <v>776.1</v>
      </c>
      <c r="C60" s="6">
        <v>801.1</v>
      </c>
      <c r="D60" s="6">
        <v>893.5</v>
      </c>
      <c r="H60" s="1">
        <v>44452</v>
      </c>
      <c r="I60">
        <v>9965.39</v>
      </c>
      <c r="J60" s="2" t="e">
        <f t="shared" si="0"/>
        <v>#N/A</v>
      </c>
      <c r="K60" s="2" t="e">
        <f t="shared" si="1"/>
        <v>#N/A</v>
      </c>
      <c r="L60" s="2" t="e">
        <f t="shared" si="2"/>
        <v>#N/A</v>
      </c>
    </row>
    <row r="61" spans="1:12" hidden="1" x14ac:dyDescent="0.45">
      <c r="A61" s="7">
        <v>45247</v>
      </c>
      <c r="B61" s="6">
        <v>761.9</v>
      </c>
      <c r="C61" s="6">
        <v>788</v>
      </c>
      <c r="D61" s="6">
        <v>880.6</v>
      </c>
      <c r="H61" s="1">
        <v>44459</v>
      </c>
      <c r="I61">
        <v>10373.450000000001</v>
      </c>
      <c r="J61" s="2" t="e">
        <f t="shared" si="0"/>
        <v>#N/A</v>
      </c>
      <c r="K61" s="2" t="e">
        <f t="shared" si="1"/>
        <v>#N/A</v>
      </c>
      <c r="L61" s="2" t="e">
        <f t="shared" si="2"/>
        <v>#N/A</v>
      </c>
    </row>
    <row r="62" spans="1:12" hidden="1" x14ac:dyDescent="0.45">
      <c r="A62" s="7">
        <v>45250</v>
      </c>
      <c r="B62" s="6">
        <v>758.9</v>
      </c>
      <c r="C62" s="6">
        <v>781.5</v>
      </c>
      <c r="D62" s="6">
        <v>877.2</v>
      </c>
      <c r="H62" s="1">
        <v>44466</v>
      </c>
      <c r="I62">
        <v>9682.57</v>
      </c>
      <c r="J62" s="2" t="e">
        <f t="shared" si="0"/>
        <v>#N/A</v>
      </c>
      <c r="K62" s="2" t="e">
        <f t="shared" si="1"/>
        <v>#N/A</v>
      </c>
      <c r="L62" s="2" t="e">
        <f t="shared" si="2"/>
        <v>#N/A</v>
      </c>
    </row>
    <row r="63" spans="1:12" hidden="1" x14ac:dyDescent="0.45">
      <c r="A63" s="7">
        <v>45251</v>
      </c>
      <c r="B63" s="6">
        <v>734</v>
      </c>
      <c r="C63" s="6">
        <v>757.5</v>
      </c>
      <c r="D63" s="6">
        <v>851.6</v>
      </c>
      <c r="H63" s="1">
        <v>44473</v>
      </c>
      <c r="I63">
        <v>10189.700000000001</v>
      </c>
      <c r="J63" s="2" t="e">
        <f t="shared" si="0"/>
        <v>#N/A</v>
      </c>
      <c r="K63" s="2" t="e">
        <f t="shared" si="1"/>
        <v>#N/A</v>
      </c>
      <c r="L63" s="2" t="e">
        <f t="shared" si="2"/>
        <v>#N/A</v>
      </c>
    </row>
    <row r="64" spans="1:12" hidden="1" x14ac:dyDescent="0.45">
      <c r="A64" s="7">
        <v>45252</v>
      </c>
      <c r="B64" s="6">
        <v>738.3</v>
      </c>
      <c r="C64" s="6">
        <v>763.5</v>
      </c>
      <c r="D64" s="6">
        <v>861.6</v>
      </c>
      <c r="H64" s="1">
        <v>44480</v>
      </c>
      <c r="I64">
        <v>9762.7000000000007</v>
      </c>
      <c r="J64" s="2" t="e">
        <f t="shared" si="0"/>
        <v>#N/A</v>
      </c>
      <c r="K64" s="2" t="e">
        <f t="shared" si="1"/>
        <v>#N/A</v>
      </c>
      <c r="L64" s="2" t="e">
        <f t="shared" si="2"/>
        <v>#N/A</v>
      </c>
    </row>
    <row r="65" spans="1:12" hidden="1" x14ac:dyDescent="0.45">
      <c r="A65" s="7">
        <v>45253</v>
      </c>
      <c r="B65" s="6">
        <v>733.6</v>
      </c>
      <c r="C65" s="6">
        <v>758</v>
      </c>
      <c r="D65" s="6">
        <v>858.4</v>
      </c>
      <c r="H65" s="1">
        <v>44487</v>
      </c>
      <c r="I65">
        <v>10151.870000000001</v>
      </c>
      <c r="J65" s="2" t="e">
        <f t="shared" si="0"/>
        <v>#N/A</v>
      </c>
      <c r="K65" s="2" t="e">
        <f t="shared" si="1"/>
        <v>#N/A</v>
      </c>
      <c r="L65" s="2" t="e">
        <f t="shared" si="2"/>
        <v>#N/A</v>
      </c>
    </row>
    <row r="66" spans="1:12" hidden="1" x14ac:dyDescent="0.45">
      <c r="A66" s="7">
        <v>45254</v>
      </c>
      <c r="B66" s="6">
        <v>758.9</v>
      </c>
      <c r="C66" s="6">
        <v>788.6</v>
      </c>
      <c r="D66" s="6">
        <v>885.7</v>
      </c>
      <c r="H66" s="1">
        <v>44494</v>
      </c>
      <c r="I66">
        <v>9956.52</v>
      </c>
      <c r="J66" s="2" t="e">
        <f t="shared" ref="J66:J129" si="3">VLOOKUP(H66,$A$1:$D$2230,2,FALSE)</f>
        <v>#N/A</v>
      </c>
      <c r="K66" s="2" t="e">
        <f t="shared" ref="K66:K129" si="4">VLOOKUP(H66,$A$1:$D$2230,3,FALSE)</f>
        <v>#N/A</v>
      </c>
      <c r="L66" s="2" t="e">
        <f t="shared" ref="L66:L129" si="5">VLOOKUP(H66,$A$1:$D$2230,4,FALSE)</f>
        <v>#N/A</v>
      </c>
    </row>
    <row r="67" spans="1:12" hidden="1" x14ac:dyDescent="0.45">
      <c r="A67" s="7">
        <v>45257</v>
      </c>
      <c r="B67" s="6">
        <v>767</v>
      </c>
      <c r="C67" s="6">
        <v>794.4</v>
      </c>
      <c r="D67" s="6">
        <v>889.6</v>
      </c>
      <c r="H67" s="1">
        <v>44501</v>
      </c>
      <c r="I67">
        <v>10066.790000000001</v>
      </c>
      <c r="J67" s="2" t="e">
        <f t="shared" si="3"/>
        <v>#N/A</v>
      </c>
      <c r="K67" s="2" t="e">
        <f t="shared" si="4"/>
        <v>#N/A</v>
      </c>
      <c r="L67" s="2" t="e">
        <f t="shared" si="5"/>
        <v>#N/A</v>
      </c>
    </row>
    <row r="68" spans="1:12" hidden="1" x14ac:dyDescent="0.45">
      <c r="A68" s="7">
        <v>45258</v>
      </c>
      <c r="B68" s="6">
        <v>786.2</v>
      </c>
      <c r="C68" s="6">
        <v>818.5</v>
      </c>
      <c r="D68" s="6">
        <v>915.9</v>
      </c>
      <c r="H68" s="1">
        <v>44508</v>
      </c>
      <c r="I68">
        <v>9922.2900000000009</v>
      </c>
      <c r="J68" s="2" t="e">
        <f t="shared" si="3"/>
        <v>#N/A</v>
      </c>
      <c r="K68" s="2" t="e">
        <f t="shared" si="4"/>
        <v>#N/A</v>
      </c>
      <c r="L68" s="2" t="e">
        <f t="shared" si="5"/>
        <v>#N/A</v>
      </c>
    </row>
    <row r="69" spans="1:12" hidden="1" x14ac:dyDescent="0.45">
      <c r="A69" s="7">
        <v>45259</v>
      </c>
      <c r="B69" s="6">
        <v>790.3</v>
      </c>
      <c r="C69" s="6">
        <v>825.3</v>
      </c>
      <c r="D69" s="6">
        <v>924.1</v>
      </c>
      <c r="H69" s="1">
        <v>44515</v>
      </c>
      <c r="I69">
        <v>9858.69</v>
      </c>
      <c r="J69" s="2" t="e">
        <f t="shared" si="3"/>
        <v>#N/A</v>
      </c>
      <c r="K69" s="2" t="e">
        <f t="shared" si="4"/>
        <v>#N/A</v>
      </c>
      <c r="L69" s="2" t="e">
        <f t="shared" si="5"/>
        <v>#N/A</v>
      </c>
    </row>
    <row r="70" spans="1:12" hidden="1" x14ac:dyDescent="0.45">
      <c r="A70" s="7">
        <v>45260</v>
      </c>
      <c r="B70" s="6">
        <v>829</v>
      </c>
      <c r="C70" s="6">
        <v>886.3</v>
      </c>
      <c r="D70" s="6">
        <v>982.7</v>
      </c>
      <c r="H70" s="1">
        <v>44522</v>
      </c>
      <c r="I70">
        <v>9456.23</v>
      </c>
      <c r="J70" s="2" t="e">
        <f t="shared" si="3"/>
        <v>#N/A</v>
      </c>
      <c r="K70" s="2" t="e">
        <f t="shared" si="4"/>
        <v>#N/A</v>
      </c>
      <c r="L70" s="2" t="e">
        <f t="shared" si="5"/>
        <v>#N/A</v>
      </c>
    </row>
    <row r="71" spans="1:12" hidden="1" x14ac:dyDescent="0.45">
      <c r="A71" s="7">
        <v>45261</v>
      </c>
      <c r="B71" s="6">
        <v>818.5</v>
      </c>
      <c r="C71" s="6">
        <v>900.1</v>
      </c>
      <c r="D71" s="6">
        <v>992.8</v>
      </c>
      <c r="H71" s="1">
        <v>44529</v>
      </c>
      <c r="I71">
        <v>9506.93</v>
      </c>
      <c r="J71" s="2" t="e">
        <f t="shared" si="3"/>
        <v>#N/A</v>
      </c>
      <c r="K71" s="2" t="e">
        <f t="shared" si="4"/>
        <v>#N/A</v>
      </c>
      <c r="L71" s="2" t="e">
        <f t="shared" si="5"/>
        <v>#N/A</v>
      </c>
    </row>
    <row r="72" spans="1:12" hidden="1" x14ac:dyDescent="0.45">
      <c r="A72" s="7">
        <v>45264</v>
      </c>
      <c r="B72" s="6">
        <v>824.4</v>
      </c>
      <c r="C72" s="6">
        <v>925.9</v>
      </c>
      <c r="D72" s="6">
        <v>1019.6</v>
      </c>
      <c r="H72" s="1">
        <v>44536</v>
      </c>
      <c r="I72">
        <v>9406.02</v>
      </c>
      <c r="J72" s="2" t="e">
        <f t="shared" si="3"/>
        <v>#N/A</v>
      </c>
      <c r="K72" s="2" t="e">
        <f t="shared" si="4"/>
        <v>#N/A</v>
      </c>
      <c r="L72" s="2" t="e">
        <f t="shared" si="5"/>
        <v>#N/A</v>
      </c>
    </row>
    <row r="73" spans="1:12" hidden="1" x14ac:dyDescent="0.45">
      <c r="A73" s="7">
        <v>45265</v>
      </c>
      <c r="B73" s="6">
        <v>796</v>
      </c>
      <c r="C73" s="6">
        <v>899.4</v>
      </c>
      <c r="D73" s="6">
        <v>999.8</v>
      </c>
      <c r="H73" s="1">
        <v>44543</v>
      </c>
      <c r="I73">
        <v>9242.91</v>
      </c>
      <c r="J73" s="2" t="e">
        <f t="shared" si="3"/>
        <v>#N/A</v>
      </c>
      <c r="K73" s="2" t="e">
        <f t="shared" si="4"/>
        <v>#N/A</v>
      </c>
      <c r="L73" s="2" t="e">
        <f t="shared" si="5"/>
        <v>#N/A</v>
      </c>
    </row>
    <row r="74" spans="1:12" hidden="1" x14ac:dyDescent="0.45">
      <c r="A74" s="7">
        <v>45266</v>
      </c>
      <c r="B74" s="6">
        <v>810.4</v>
      </c>
      <c r="C74" s="6">
        <v>932.1</v>
      </c>
      <c r="D74" s="6">
        <v>1027.0999999999999</v>
      </c>
      <c r="H74" s="1">
        <v>44550</v>
      </c>
      <c r="I74">
        <v>9512.5400000000009</v>
      </c>
      <c r="J74" s="2" t="e">
        <f t="shared" si="3"/>
        <v>#N/A</v>
      </c>
      <c r="K74" s="2" t="e">
        <f t="shared" si="4"/>
        <v>#N/A</v>
      </c>
      <c r="L74" s="2" t="e">
        <f t="shared" si="5"/>
        <v>#N/A</v>
      </c>
    </row>
    <row r="75" spans="1:12" hidden="1" x14ac:dyDescent="0.45">
      <c r="A75" s="7">
        <v>45267</v>
      </c>
      <c r="B75" s="6">
        <v>870.1</v>
      </c>
      <c r="C75" s="6">
        <v>984</v>
      </c>
      <c r="D75" s="6">
        <v>1063.5999999999999</v>
      </c>
      <c r="H75" s="1">
        <v>44557</v>
      </c>
      <c r="I75">
        <v>9562.09</v>
      </c>
      <c r="J75" s="2" t="e">
        <f t="shared" si="3"/>
        <v>#N/A</v>
      </c>
      <c r="K75" s="2" t="e">
        <f t="shared" si="4"/>
        <v>#N/A</v>
      </c>
      <c r="L75" s="2" t="e">
        <f t="shared" si="5"/>
        <v>#N/A</v>
      </c>
    </row>
    <row r="76" spans="1:12" hidden="1" x14ac:dyDescent="0.45">
      <c r="A76" s="7">
        <v>45268</v>
      </c>
      <c r="B76" s="6">
        <v>894</v>
      </c>
      <c r="C76" s="6">
        <v>992.8</v>
      </c>
      <c r="D76" s="6">
        <v>1057</v>
      </c>
      <c r="H76" s="1">
        <v>44564</v>
      </c>
      <c r="I76">
        <v>9003.66</v>
      </c>
      <c r="J76" s="2" t="e">
        <f t="shared" si="3"/>
        <v>#N/A</v>
      </c>
      <c r="K76" s="2" t="e">
        <f t="shared" si="4"/>
        <v>#N/A</v>
      </c>
      <c r="L76" s="2" t="e">
        <f t="shared" si="5"/>
        <v>#N/A</v>
      </c>
    </row>
    <row r="77" spans="1:12" hidden="1" x14ac:dyDescent="0.45">
      <c r="A77" s="7">
        <v>45271</v>
      </c>
      <c r="B77" s="6">
        <v>900.4</v>
      </c>
      <c r="C77" s="6">
        <v>987.3</v>
      </c>
      <c r="D77" s="6">
        <v>1048.3</v>
      </c>
      <c r="H77" s="1">
        <v>44571</v>
      </c>
      <c r="I77">
        <v>9672.06</v>
      </c>
      <c r="J77" s="2" t="e">
        <f t="shared" si="3"/>
        <v>#N/A</v>
      </c>
      <c r="K77" s="2" t="e">
        <f t="shared" si="4"/>
        <v>#N/A</v>
      </c>
      <c r="L77" s="2" t="e">
        <f t="shared" si="5"/>
        <v>#N/A</v>
      </c>
    </row>
    <row r="78" spans="1:12" hidden="1" x14ac:dyDescent="0.45">
      <c r="A78" s="7">
        <v>45272</v>
      </c>
      <c r="B78" s="6">
        <v>909.9</v>
      </c>
      <c r="C78" s="6">
        <v>986.4</v>
      </c>
      <c r="D78" s="6">
        <v>1043.0999999999999</v>
      </c>
      <c r="H78" s="1">
        <v>44578</v>
      </c>
      <c r="I78">
        <v>9734.4</v>
      </c>
      <c r="J78" s="2" t="e">
        <f t="shared" si="3"/>
        <v>#N/A</v>
      </c>
      <c r="K78" s="2" t="e">
        <f t="shared" si="4"/>
        <v>#N/A</v>
      </c>
      <c r="L78" s="2" t="e">
        <f t="shared" si="5"/>
        <v>#N/A</v>
      </c>
    </row>
    <row r="79" spans="1:12" hidden="1" x14ac:dyDescent="0.45">
      <c r="A79" s="7">
        <v>45273</v>
      </c>
      <c r="B79" s="6">
        <v>893</v>
      </c>
      <c r="C79" s="6">
        <v>974.8</v>
      </c>
      <c r="D79" s="6">
        <v>1033</v>
      </c>
      <c r="H79" s="1">
        <v>44585</v>
      </c>
      <c r="I79">
        <v>10072.17</v>
      </c>
      <c r="J79" s="2" t="e">
        <f t="shared" si="3"/>
        <v>#N/A</v>
      </c>
      <c r="K79" s="2" t="e">
        <f t="shared" si="4"/>
        <v>#N/A</v>
      </c>
      <c r="L79" s="2" t="e">
        <f t="shared" si="5"/>
        <v>#N/A</v>
      </c>
    </row>
    <row r="80" spans="1:12" hidden="1" x14ac:dyDescent="0.45">
      <c r="A80" s="7">
        <v>45274</v>
      </c>
      <c r="B80" s="6">
        <v>886</v>
      </c>
      <c r="C80" s="6">
        <v>964</v>
      </c>
      <c r="D80" s="6">
        <v>1028.9000000000001</v>
      </c>
      <c r="H80" s="1">
        <v>44592</v>
      </c>
      <c r="I80">
        <v>9796.6</v>
      </c>
      <c r="J80" s="2" t="e">
        <f t="shared" si="3"/>
        <v>#N/A</v>
      </c>
      <c r="K80" s="2" t="e">
        <f t="shared" si="4"/>
        <v>#N/A</v>
      </c>
      <c r="L80" s="2" t="e">
        <f t="shared" si="5"/>
        <v>#N/A</v>
      </c>
    </row>
    <row r="81" spans="1:12" hidden="1" x14ac:dyDescent="0.45">
      <c r="A81" s="7">
        <v>45275</v>
      </c>
      <c r="B81" s="6">
        <v>899.2</v>
      </c>
      <c r="C81" s="6">
        <v>969.7</v>
      </c>
      <c r="D81" s="6">
        <v>1037.5999999999999</v>
      </c>
      <c r="H81" s="1">
        <v>44599</v>
      </c>
      <c r="I81">
        <v>9713.06</v>
      </c>
      <c r="J81" s="2" t="e">
        <f t="shared" si="3"/>
        <v>#N/A</v>
      </c>
      <c r="K81" s="2" t="e">
        <f t="shared" si="4"/>
        <v>#N/A</v>
      </c>
      <c r="L81" s="2" t="e">
        <f t="shared" si="5"/>
        <v>#N/A</v>
      </c>
    </row>
    <row r="82" spans="1:12" hidden="1" x14ac:dyDescent="0.45">
      <c r="A82" s="7">
        <v>45278</v>
      </c>
      <c r="B82" s="6">
        <v>979.7</v>
      </c>
      <c r="C82" s="6">
        <v>1060.8</v>
      </c>
      <c r="D82" s="6">
        <v>1133.3</v>
      </c>
      <c r="H82" s="1">
        <v>44606</v>
      </c>
      <c r="I82">
        <v>9587.0400000000009</v>
      </c>
      <c r="J82" s="2" t="e">
        <f t="shared" si="3"/>
        <v>#N/A</v>
      </c>
      <c r="K82" s="2" t="e">
        <f t="shared" si="4"/>
        <v>#N/A</v>
      </c>
      <c r="L82" s="2" t="e">
        <f t="shared" si="5"/>
        <v>#N/A</v>
      </c>
    </row>
    <row r="83" spans="1:12" hidden="1" x14ac:dyDescent="0.45">
      <c r="A83" s="7">
        <v>45279</v>
      </c>
      <c r="B83" s="6">
        <v>1092.9000000000001</v>
      </c>
      <c r="C83" s="6">
        <v>1133.0999999999999</v>
      </c>
      <c r="D83" s="6">
        <v>1163.5999999999999</v>
      </c>
      <c r="H83" s="1">
        <v>44613</v>
      </c>
      <c r="I83">
        <v>9538.35</v>
      </c>
      <c r="J83" s="2" t="e">
        <f t="shared" si="3"/>
        <v>#N/A</v>
      </c>
      <c r="K83" s="2" t="e">
        <f t="shared" si="4"/>
        <v>#N/A</v>
      </c>
      <c r="L83" s="2" t="e">
        <f t="shared" si="5"/>
        <v>#N/A</v>
      </c>
    </row>
    <row r="84" spans="1:12" hidden="1" x14ac:dyDescent="0.45">
      <c r="A84" s="7">
        <v>45280</v>
      </c>
      <c r="B84" s="6">
        <v>1168.4000000000001</v>
      </c>
      <c r="C84" s="6">
        <v>1111.5</v>
      </c>
      <c r="D84" s="6">
        <v>1098</v>
      </c>
      <c r="H84" s="1">
        <v>44620</v>
      </c>
      <c r="I84">
        <v>9444.6</v>
      </c>
      <c r="J84" s="2" t="e">
        <f t="shared" si="3"/>
        <v>#N/A</v>
      </c>
      <c r="K84" s="2" t="e">
        <f t="shared" si="4"/>
        <v>#N/A</v>
      </c>
      <c r="L84" s="2" t="e">
        <f t="shared" si="5"/>
        <v>#N/A</v>
      </c>
    </row>
    <row r="85" spans="1:12" hidden="1" x14ac:dyDescent="0.45">
      <c r="A85" s="7">
        <v>45281</v>
      </c>
      <c r="B85" s="6">
        <v>1236.8</v>
      </c>
      <c r="C85" s="6">
        <v>1158</v>
      </c>
      <c r="D85" s="6">
        <v>1079</v>
      </c>
      <c r="H85" s="1">
        <v>44627</v>
      </c>
      <c r="I85">
        <v>9466.34</v>
      </c>
      <c r="J85" s="2" t="e">
        <f t="shared" si="3"/>
        <v>#N/A</v>
      </c>
      <c r="K85" s="2" t="e">
        <f t="shared" si="4"/>
        <v>#N/A</v>
      </c>
      <c r="L85" s="2" t="e">
        <f t="shared" si="5"/>
        <v>#N/A</v>
      </c>
    </row>
    <row r="86" spans="1:12" hidden="1" x14ac:dyDescent="0.45">
      <c r="A86" s="7">
        <v>45282</v>
      </c>
      <c r="B86" s="6">
        <v>1391.2</v>
      </c>
      <c r="C86" s="6">
        <v>1285.4000000000001</v>
      </c>
      <c r="D86" s="6">
        <v>1137.4000000000001</v>
      </c>
      <c r="H86" s="1">
        <v>44634</v>
      </c>
      <c r="I86">
        <v>9258.7900000000009</v>
      </c>
      <c r="J86" s="2" t="e">
        <f t="shared" si="3"/>
        <v>#N/A</v>
      </c>
      <c r="K86" s="2" t="e">
        <f t="shared" si="4"/>
        <v>#N/A</v>
      </c>
      <c r="L86" s="2" t="e">
        <f t="shared" si="5"/>
        <v>#N/A</v>
      </c>
    </row>
    <row r="87" spans="1:12" hidden="1" x14ac:dyDescent="0.45">
      <c r="A87" s="7">
        <v>45285</v>
      </c>
      <c r="B87" s="6">
        <v>1330</v>
      </c>
      <c r="C87" s="6">
        <v>1115.0999999999999</v>
      </c>
      <c r="D87" s="6">
        <v>1026.5999999999999</v>
      </c>
      <c r="H87" s="1">
        <v>44641</v>
      </c>
      <c r="I87">
        <v>8639.5</v>
      </c>
      <c r="J87" s="2" t="e">
        <f t="shared" si="3"/>
        <v>#N/A</v>
      </c>
      <c r="K87" s="2" t="e">
        <f t="shared" si="4"/>
        <v>#N/A</v>
      </c>
      <c r="L87" s="2" t="e">
        <f t="shared" si="5"/>
        <v>#N/A</v>
      </c>
    </row>
    <row r="88" spans="1:12" hidden="1" x14ac:dyDescent="0.45">
      <c r="A88" s="7">
        <v>45286</v>
      </c>
      <c r="B88" s="6">
        <v>1498.7</v>
      </c>
      <c r="C88" s="6">
        <v>1271.5999999999999</v>
      </c>
      <c r="D88" s="6">
        <v>1134.3</v>
      </c>
      <c r="H88" s="1">
        <v>44648</v>
      </c>
      <c r="I88">
        <v>8414.17</v>
      </c>
      <c r="J88" s="2" t="e">
        <f t="shared" si="3"/>
        <v>#N/A</v>
      </c>
      <c r="K88" s="2" t="e">
        <f t="shared" si="4"/>
        <v>#N/A</v>
      </c>
      <c r="L88" s="2" t="e">
        <f t="shared" si="5"/>
        <v>#N/A</v>
      </c>
    </row>
    <row r="89" spans="1:12" hidden="1" x14ac:dyDescent="0.45">
      <c r="A89" s="7">
        <v>45287</v>
      </c>
      <c r="B89" s="6">
        <v>1744.9</v>
      </c>
      <c r="C89" s="6">
        <v>1450.1</v>
      </c>
      <c r="D89" s="6">
        <v>1262.8</v>
      </c>
      <c r="H89" s="1">
        <v>44655</v>
      </c>
      <c r="I89">
        <v>7989.1</v>
      </c>
      <c r="J89" s="2" t="e">
        <f t="shared" si="3"/>
        <v>#N/A</v>
      </c>
      <c r="K89" s="2" t="e">
        <f t="shared" si="4"/>
        <v>#N/A</v>
      </c>
      <c r="L89" s="2" t="e">
        <f t="shared" si="5"/>
        <v>#N/A</v>
      </c>
    </row>
    <row r="90" spans="1:12" hidden="1" x14ac:dyDescent="0.45">
      <c r="A90" s="7">
        <v>45288</v>
      </c>
      <c r="B90" s="6">
        <v>1719.4</v>
      </c>
      <c r="C90" s="6">
        <v>1430.2</v>
      </c>
      <c r="D90" s="6">
        <v>1329.2</v>
      </c>
      <c r="H90" s="1">
        <v>44662</v>
      </c>
      <c r="I90">
        <v>7846.72</v>
      </c>
      <c r="J90" s="2" t="e">
        <f t="shared" si="3"/>
        <v>#N/A</v>
      </c>
      <c r="K90" s="2" t="e">
        <f t="shared" si="4"/>
        <v>#N/A</v>
      </c>
      <c r="L90" s="2" t="e">
        <f t="shared" si="5"/>
        <v>#N/A</v>
      </c>
    </row>
    <row r="91" spans="1:12" hidden="1" x14ac:dyDescent="0.45">
      <c r="A91" s="7">
        <v>45289</v>
      </c>
      <c r="B91" s="6">
        <v>1643</v>
      </c>
      <c r="C91" s="6">
        <v>1434.2</v>
      </c>
      <c r="D91" s="6">
        <v>1358.1</v>
      </c>
      <c r="H91" s="1">
        <v>44669</v>
      </c>
      <c r="I91">
        <v>7680.88</v>
      </c>
      <c r="J91" s="2" t="e">
        <f t="shared" si="3"/>
        <v>#N/A</v>
      </c>
      <c r="K91" s="2" t="e">
        <f t="shared" si="4"/>
        <v>#N/A</v>
      </c>
      <c r="L91" s="2" t="e">
        <f t="shared" si="5"/>
        <v>#N/A</v>
      </c>
    </row>
    <row r="92" spans="1:12" hidden="1" x14ac:dyDescent="0.45">
      <c r="A92" s="7">
        <v>45293</v>
      </c>
      <c r="B92" s="6">
        <v>1924.8</v>
      </c>
      <c r="C92" s="6">
        <v>1641.3</v>
      </c>
      <c r="D92" s="6">
        <v>1539.1</v>
      </c>
      <c r="H92" s="1">
        <v>44676</v>
      </c>
      <c r="I92">
        <v>7626.98</v>
      </c>
      <c r="J92" s="2" t="e">
        <f t="shared" si="3"/>
        <v>#N/A</v>
      </c>
      <c r="K92" s="2" t="e">
        <f t="shared" si="4"/>
        <v>#N/A</v>
      </c>
      <c r="L92" s="2" t="e">
        <f t="shared" si="5"/>
        <v>#N/A</v>
      </c>
    </row>
    <row r="93" spans="1:12" hidden="1" x14ac:dyDescent="0.45">
      <c r="A93" s="7">
        <v>45294</v>
      </c>
      <c r="B93" s="6">
        <v>2353.9</v>
      </c>
      <c r="C93" s="6">
        <v>2005.2</v>
      </c>
      <c r="D93" s="6">
        <v>1848.5</v>
      </c>
      <c r="H93" s="1">
        <v>44683</v>
      </c>
      <c r="I93">
        <v>7410.22</v>
      </c>
      <c r="J93" s="2" t="e">
        <f t="shared" si="3"/>
        <v>#N/A</v>
      </c>
      <c r="K93" s="2" t="e">
        <f t="shared" si="4"/>
        <v>#N/A</v>
      </c>
      <c r="L93" s="2" t="e">
        <f t="shared" si="5"/>
        <v>#N/A</v>
      </c>
    </row>
    <row r="94" spans="1:12" hidden="1" x14ac:dyDescent="0.45">
      <c r="A94" s="7">
        <v>45295</v>
      </c>
      <c r="B94" s="6">
        <v>2446.4</v>
      </c>
      <c r="C94" s="6">
        <v>2306.1</v>
      </c>
      <c r="D94" s="6">
        <v>2261.6</v>
      </c>
      <c r="H94" s="1">
        <v>44690</v>
      </c>
      <c r="I94">
        <v>7231.37</v>
      </c>
      <c r="J94" s="2" t="e">
        <f t="shared" si="3"/>
        <v>#N/A</v>
      </c>
      <c r="K94" s="2" t="e">
        <f t="shared" si="4"/>
        <v>#N/A</v>
      </c>
      <c r="L94" s="2" t="e">
        <f t="shared" si="5"/>
        <v>#N/A</v>
      </c>
    </row>
    <row r="95" spans="1:12" hidden="1" x14ac:dyDescent="0.45">
      <c r="A95" s="7">
        <v>45296</v>
      </c>
      <c r="B95" s="6">
        <v>2275.5</v>
      </c>
      <c r="C95" s="6">
        <v>2180.6999999999998</v>
      </c>
      <c r="D95" s="6">
        <v>2116.6</v>
      </c>
      <c r="H95" s="1">
        <v>44697</v>
      </c>
      <c r="I95">
        <v>6926.18</v>
      </c>
      <c r="J95" s="2" t="e">
        <f t="shared" si="3"/>
        <v>#N/A</v>
      </c>
      <c r="K95" s="2" t="e">
        <f t="shared" si="4"/>
        <v>#N/A</v>
      </c>
      <c r="L95" s="2" t="e">
        <f t="shared" si="5"/>
        <v>#N/A</v>
      </c>
    </row>
    <row r="96" spans="1:12" hidden="1" x14ac:dyDescent="0.45">
      <c r="A96" s="7">
        <v>45299</v>
      </c>
      <c r="B96" s="6">
        <v>2177.5</v>
      </c>
      <c r="C96" s="6">
        <v>2000</v>
      </c>
      <c r="D96" s="6">
        <v>1594.3</v>
      </c>
      <c r="H96" s="1">
        <v>44704</v>
      </c>
      <c r="I96">
        <v>6967.25</v>
      </c>
      <c r="J96" s="2" t="e">
        <f t="shared" si="3"/>
        <v>#N/A</v>
      </c>
      <c r="K96" s="2" t="e">
        <f t="shared" si="4"/>
        <v>#N/A</v>
      </c>
      <c r="L96" s="2" t="e">
        <f t="shared" si="5"/>
        <v>#N/A</v>
      </c>
    </row>
    <row r="97" spans="1:12" hidden="1" x14ac:dyDescent="0.45">
      <c r="A97" s="7">
        <v>45300</v>
      </c>
      <c r="B97" s="6">
        <v>1773.4</v>
      </c>
      <c r="C97" s="6">
        <v>1650.3</v>
      </c>
      <c r="D97" s="6">
        <v>1618</v>
      </c>
      <c r="H97" s="1">
        <v>44711</v>
      </c>
      <c r="I97">
        <v>7033.02</v>
      </c>
      <c r="J97" s="2" t="e">
        <f t="shared" si="3"/>
        <v>#N/A</v>
      </c>
      <c r="K97" s="2" t="e">
        <f t="shared" si="4"/>
        <v>#N/A</v>
      </c>
      <c r="L97" s="2" t="e">
        <f t="shared" si="5"/>
        <v>#N/A</v>
      </c>
    </row>
    <row r="98" spans="1:12" hidden="1" x14ac:dyDescent="0.45">
      <c r="A98" s="7">
        <v>45301</v>
      </c>
      <c r="B98" s="6">
        <v>1773.7</v>
      </c>
      <c r="C98" s="6">
        <v>1674</v>
      </c>
      <c r="D98" s="6">
        <v>1610.4</v>
      </c>
      <c r="H98" s="1">
        <v>44718</v>
      </c>
      <c r="I98">
        <v>7105.6</v>
      </c>
      <c r="J98" s="2" t="e">
        <f t="shared" si="3"/>
        <v>#N/A</v>
      </c>
      <c r="K98" s="2" t="e">
        <f t="shared" si="4"/>
        <v>#N/A</v>
      </c>
      <c r="L98" s="2" t="e">
        <f t="shared" si="5"/>
        <v>#N/A</v>
      </c>
    </row>
    <row r="99" spans="1:12" hidden="1" x14ac:dyDescent="0.45">
      <c r="A99" s="7">
        <v>45302</v>
      </c>
      <c r="B99" s="6">
        <v>1809</v>
      </c>
      <c r="C99" s="6">
        <v>1682</v>
      </c>
      <c r="D99" s="6">
        <v>1849</v>
      </c>
      <c r="H99" s="1">
        <v>44725</v>
      </c>
      <c r="I99">
        <v>7129.03</v>
      </c>
      <c r="J99" s="2" t="e">
        <f t="shared" si="3"/>
        <v>#N/A</v>
      </c>
      <c r="K99" s="2" t="e">
        <f t="shared" si="4"/>
        <v>#N/A</v>
      </c>
      <c r="L99" s="2" t="e">
        <f t="shared" si="5"/>
        <v>#N/A</v>
      </c>
    </row>
    <row r="100" spans="1:12" hidden="1" x14ac:dyDescent="0.45">
      <c r="A100" s="7">
        <v>45303</v>
      </c>
      <c r="B100" s="6">
        <v>2157.1</v>
      </c>
      <c r="C100" s="6">
        <v>1959</v>
      </c>
      <c r="D100" s="6">
        <v>1740</v>
      </c>
      <c r="H100" s="1">
        <v>44732</v>
      </c>
      <c r="I100">
        <v>7126.98</v>
      </c>
      <c r="J100" s="2" t="e">
        <f t="shared" si="3"/>
        <v>#N/A</v>
      </c>
      <c r="K100" s="2" t="e">
        <f t="shared" si="4"/>
        <v>#N/A</v>
      </c>
      <c r="L100" s="2" t="e">
        <f t="shared" si="5"/>
        <v>#N/A</v>
      </c>
    </row>
    <row r="101" spans="1:12" hidden="1" x14ac:dyDescent="0.45">
      <c r="A101" s="7">
        <v>45306</v>
      </c>
      <c r="B101" s="6">
        <v>2068.3000000000002</v>
      </c>
      <c r="C101" s="6">
        <v>1871.8</v>
      </c>
      <c r="D101" s="6">
        <v>1725</v>
      </c>
      <c r="H101" s="1">
        <v>44739</v>
      </c>
      <c r="I101">
        <v>6993.26</v>
      </c>
      <c r="J101" s="2" t="e">
        <f t="shared" si="3"/>
        <v>#N/A</v>
      </c>
      <c r="K101" s="2" t="e">
        <f t="shared" si="4"/>
        <v>#N/A</v>
      </c>
      <c r="L101" s="2" t="e">
        <f t="shared" si="5"/>
        <v>#N/A</v>
      </c>
    </row>
    <row r="102" spans="1:12" hidden="1" x14ac:dyDescent="0.45">
      <c r="A102" s="7">
        <v>45307</v>
      </c>
      <c r="B102" s="6">
        <v>2039.6</v>
      </c>
      <c r="C102" s="6">
        <v>1840.1</v>
      </c>
      <c r="D102" s="6">
        <v>1564.4</v>
      </c>
      <c r="H102" s="1">
        <v>44746</v>
      </c>
      <c r="I102">
        <v>6991.61</v>
      </c>
      <c r="J102" s="2" t="e">
        <f t="shared" si="3"/>
        <v>#N/A</v>
      </c>
      <c r="K102" s="2" t="e">
        <f t="shared" si="4"/>
        <v>#N/A</v>
      </c>
      <c r="L102" s="2" t="e">
        <f t="shared" si="5"/>
        <v>#N/A</v>
      </c>
    </row>
    <row r="103" spans="1:12" hidden="1" x14ac:dyDescent="0.45">
      <c r="A103" s="7">
        <v>45308</v>
      </c>
      <c r="B103" s="6">
        <v>1926.8</v>
      </c>
      <c r="C103" s="6">
        <v>1679.8</v>
      </c>
      <c r="D103" s="6">
        <v>1532.9</v>
      </c>
      <c r="H103" s="1">
        <v>44753</v>
      </c>
      <c r="I103">
        <v>6945.82</v>
      </c>
      <c r="J103" s="2" t="e">
        <f t="shared" si="3"/>
        <v>#N/A</v>
      </c>
      <c r="K103" s="2" t="e">
        <f t="shared" si="4"/>
        <v>#N/A</v>
      </c>
      <c r="L103" s="2" t="e">
        <f t="shared" si="5"/>
        <v>#N/A</v>
      </c>
    </row>
    <row r="104" spans="1:12" hidden="1" x14ac:dyDescent="0.45">
      <c r="A104" s="7">
        <v>45309</v>
      </c>
      <c r="B104" s="6">
        <v>1965.2</v>
      </c>
      <c r="C104" s="6">
        <v>1695</v>
      </c>
      <c r="D104" s="6">
        <v>1497.6</v>
      </c>
      <c r="H104" s="1">
        <v>44760</v>
      </c>
      <c r="I104">
        <v>6875.29</v>
      </c>
      <c r="J104" s="2" t="e">
        <f t="shared" si="3"/>
        <v>#N/A</v>
      </c>
      <c r="K104" s="2" t="e">
        <f t="shared" si="4"/>
        <v>#N/A</v>
      </c>
      <c r="L104" s="2" t="e">
        <f t="shared" si="5"/>
        <v>#N/A</v>
      </c>
    </row>
    <row r="105" spans="1:12" hidden="1" x14ac:dyDescent="0.45">
      <c r="A105" s="7">
        <v>45310</v>
      </c>
      <c r="B105" s="6">
        <v>1867.6</v>
      </c>
      <c r="C105" s="6">
        <v>1615.9</v>
      </c>
      <c r="D105" s="6">
        <v>1649.9</v>
      </c>
      <c r="H105" s="1">
        <v>44767</v>
      </c>
      <c r="I105">
        <v>6823.52</v>
      </c>
      <c r="J105" s="2" t="e">
        <f t="shared" si="3"/>
        <v>#N/A</v>
      </c>
      <c r="K105" s="2" t="e">
        <f t="shared" si="4"/>
        <v>#N/A</v>
      </c>
      <c r="L105" s="2" t="e">
        <f t="shared" si="5"/>
        <v>#N/A</v>
      </c>
    </row>
    <row r="106" spans="1:12" hidden="1" x14ac:dyDescent="0.45">
      <c r="A106" s="7">
        <v>45313</v>
      </c>
      <c r="B106" s="6">
        <v>1982.2</v>
      </c>
      <c r="C106" s="6">
        <v>1765</v>
      </c>
      <c r="D106" s="6">
        <v>1625</v>
      </c>
      <c r="H106" s="1">
        <v>44774</v>
      </c>
      <c r="I106">
        <v>6730.6</v>
      </c>
      <c r="J106" s="2" t="e">
        <f t="shared" si="3"/>
        <v>#N/A</v>
      </c>
      <c r="K106" s="2" t="e">
        <f t="shared" si="4"/>
        <v>#N/A</v>
      </c>
      <c r="L106" s="2" t="e">
        <f t="shared" si="5"/>
        <v>#N/A</v>
      </c>
    </row>
    <row r="107" spans="1:12" hidden="1" x14ac:dyDescent="0.45">
      <c r="A107" s="7">
        <v>45314</v>
      </c>
      <c r="B107" s="6">
        <v>2025.1</v>
      </c>
      <c r="C107" s="6">
        <v>1764.9</v>
      </c>
      <c r="D107" s="6">
        <v>1561.2</v>
      </c>
      <c r="H107" s="1">
        <v>44781</v>
      </c>
      <c r="I107">
        <v>6483.75</v>
      </c>
      <c r="J107" s="2" t="e">
        <f t="shared" si="3"/>
        <v>#N/A</v>
      </c>
      <c r="K107" s="2" t="e">
        <f t="shared" si="4"/>
        <v>#N/A</v>
      </c>
      <c r="L107" s="2" t="e">
        <f t="shared" si="5"/>
        <v>#N/A</v>
      </c>
    </row>
    <row r="108" spans="1:12" hidden="1" x14ac:dyDescent="0.45">
      <c r="A108" s="7">
        <v>45315</v>
      </c>
      <c r="B108" s="6">
        <v>1978.7</v>
      </c>
      <c r="C108" s="6">
        <v>1711.6</v>
      </c>
      <c r="D108" s="6">
        <v>1567</v>
      </c>
      <c r="H108" s="1">
        <v>44788</v>
      </c>
      <c r="I108">
        <v>6238.88</v>
      </c>
      <c r="J108" s="2" t="e">
        <f t="shared" si="3"/>
        <v>#N/A</v>
      </c>
      <c r="K108" s="2" t="e">
        <f t="shared" si="4"/>
        <v>#N/A</v>
      </c>
      <c r="L108" s="2" t="e">
        <f t="shared" si="5"/>
        <v>#N/A</v>
      </c>
    </row>
    <row r="109" spans="1:12" hidden="1" x14ac:dyDescent="0.45">
      <c r="A109" s="7">
        <v>45316</v>
      </c>
      <c r="B109" s="6">
        <v>1980.5</v>
      </c>
      <c r="C109" s="6">
        <v>1718.6</v>
      </c>
      <c r="D109" s="6">
        <v>1561.9</v>
      </c>
      <c r="H109" s="1">
        <v>44795</v>
      </c>
      <c r="I109">
        <v>6073.69</v>
      </c>
      <c r="J109" s="2" t="e">
        <f t="shared" si="3"/>
        <v>#N/A</v>
      </c>
      <c r="K109" s="2" t="e">
        <f t="shared" si="4"/>
        <v>#N/A</v>
      </c>
      <c r="L109" s="2" t="e">
        <f t="shared" si="5"/>
        <v>#N/A</v>
      </c>
    </row>
    <row r="110" spans="1:12" hidden="1" x14ac:dyDescent="0.45">
      <c r="A110" s="7">
        <v>45317</v>
      </c>
      <c r="B110" s="6">
        <v>1973.6</v>
      </c>
      <c r="C110" s="6">
        <v>1718.2</v>
      </c>
      <c r="D110" s="6">
        <v>1540</v>
      </c>
      <c r="H110" s="1">
        <v>44802</v>
      </c>
      <c r="I110">
        <v>5799.76</v>
      </c>
      <c r="J110" s="2" t="e">
        <f t="shared" si="3"/>
        <v>#N/A</v>
      </c>
      <c r="K110" s="2" t="e">
        <f t="shared" si="4"/>
        <v>#N/A</v>
      </c>
      <c r="L110" s="2" t="e">
        <f t="shared" si="5"/>
        <v>#N/A</v>
      </c>
    </row>
    <row r="111" spans="1:12" hidden="1" x14ac:dyDescent="0.45">
      <c r="A111" s="7">
        <v>45320</v>
      </c>
      <c r="B111" s="6">
        <v>1908</v>
      </c>
      <c r="C111" s="6">
        <v>1658</v>
      </c>
      <c r="D111" s="6">
        <v>1547.6</v>
      </c>
      <c r="H111" s="1">
        <v>44809</v>
      </c>
      <c r="I111">
        <v>5470.47</v>
      </c>
      <c r="J111" s="2" t="e">
        <f t="shared" si="3"/>
        <v>#N/A</v>
      </c>
      <c r="K111" s="2" t="e">
        <f t="shared" si="4"/>
        <v>#N/A</v>
      </c>
      <c r="L111" s="2" t="e">
        <f t="shared" si="5"/>
        <v>#N/A</v>
      </c>
    </row>
    <row r="112" spans="1:12" hidden="1" x14ac:dyDescent="0.45">
      <c r="A112" s="7">
        <v>45321</v>
      </c>
      <c r="B112" s="6">
        <v>1939.6</v>
      </c>
      <c r="C112" s="6">
        <v>1685</v>
      </c>
      <c r="D112" s="6">
        <v>1533.3</v>
      </c>
      <c r="H112" s="1">
        <v>44816</v>
      </c>
      <c r="I112">
        <v>5028.58</v>
      </c>
      <c r="J112" s="2" t="e">
        <f t="shared" si="3"/>
        <v>#N/A</v>
      </c>
      <c r="K112" s="2" t="e">
        <f t="shared" si="4"/>
        <v>#N/A</v>
      </c>
      <c r="L112" s="2" t="e">
        <f t="shared" si="5"/>
        <v>#N/A</v>
      </c>
    </row>
    <row r="113" spans="1:12" hidden="1" x14ac:dyDescent="0.45">
      <c r="A113" s="7">
        <v>45322</v>
      </c>
      <c r="B113" s="6">
        <v>1924.9</v>
      </c>
      <c r="C113" s="6">
        <v>1655</v>
      </c>
      <c r="D113" s="6">
        <v>1541</v>
      </c>
      <c r="H113" s="1">
        <v>44823</v>
      </c>
      <c r="I113">
        <v>4776.3100000000004</v>
      </c>
      <c r="J113" s="2" t="e">
        <f t="shared" si="3"/>
        <v>#N/A</v>
      </c>
      <c r="K113" s="2" t="e">
        <f t="shared" si="4"/>
        <v>#N/A</v>
      </c>
      <c r="L113" s="2" t="e">
        <f t="shared" si="5"/>
        <v>#N/A</v>
      </c>
    </row>
    <row r="114" spans="1:12" hidden="1" x14ac:dyDescent="0.45">
      <c r="A114" s="7">
        <v>45323</v>
      </c>
      <c r="B114" s="6">
        <v>1910.2</v>
      </c>
      <c r="C114" s="6">
        <v>1657.9</v>
      </c>
      <c r="D114" s="6">
        <v>1353.8</v>
      </c>
      <c r="H114" s="1">
        <v>44830</v>
      </c>
      <c r="I114">
        <v>4361.9399999999996</v>
      </c>
      <c r="J114" s="2" t="e">
        <f t="shared" si="3"/>
        <v>#N/A</v>
      </c>
      <c r="K114" s="2" t="e">
        <f t="shared" si="4"/>
        <v>#N/A</v>
      </c>
      <c r="L114" s="2" t="e">
        <f t="shared" si="5"/>
        <v>#N/A</v>
      </c>
    </row>
    <row r="115" spans="1:12" hidden="1" x14ac:dyDescent="0.45">
      <c r="A115" s="7">
        <v>45324</v>
      </c>
      <c r="B115" s="6">
        <v>1701.5</v>
      </c>
      <c r="C115" s="6">
        <v>1450.7</v>
      </c>
      <c r="D115" s="6">
        <v>1410</v>
      </c>
      <c r="H115" s="1">
        <v>44837</v>
      </c>
      <c r="I115">
        <v>3936.27</v>
      </c>
      <c r="J115" s="2" t="e">
        <f t="shared" si="3"/>
        <v>#N/A</v>
      </c>
      <c r="K115" s="2" t="e">
        <f t="shared" si="4"/>
        <v>#N/A</v>
      </c>
      <c r="L115" s="2" t="e">
        <f t="shared" si="5"/>
        <v>#N/A</v>
      </c>
    </row>
    <row r="116" spans="1:12" hidden="1" x14ac:dyDescent="0.45">
      <c r="A116" s="7">
        <v>45327</v>
      </c>
      <c r="B116" s="6">
        <v>1769.6</v>
      </c>
      <c r="C116" s="6">
        <v>1526.4</v>
      </c>
      <c r="D116" s="6">
        <v>1420</v>
      </c>
      <c r="H116" s="1">
        <v>44844</v>
      </c>
      <c r="I116">
        <v>3433.54</v>
      </c>
      <c r="J116" s="2" t="e">
        <f t="shared" si="3"/>
        <v>#N/A</v>
      </c>
      <c r="K116" s="2" t="e">
        <f t="shared" si="4"/>
        <v>#N/A</v>
      </c>
      <c r="L116" s="2" t="e">
        <f t="shared" si="5"/>
        <v>#N/A</v>
      </c>
    </row>
    <row r="117" spans="1:12" hidden="1" x14ac:dyDescent="0.45">
      <c r="A117" s="7">
        <v>45328</v>
      </c>
      <c r="B117" s="6">
        <v>1808.7</v>
      </c>
      <c r="C117" s="6">
        <v>1550</v>
      </c>
      <c r="D117" s="6">
        <v>1513.1</v>
      </c>
      <c r="H117" s="1">
        <v>44851</v>
      </c>
      <c r="I117">
        <v>3111.54</v>
      </c>
      <c r="J117" s="2" t="e">
        <f t="shared" si="3"/>
        <v>#N/A</v>
      </c>
      <c r="K117" s="2" t="e">
        <f t="shared" si="4"/>
        <v>#N/A</v>
      </c>
      <c r="L117" s="2" t="e">
        <f t="shared" si="5"/>
        <v>#N/A</v>
      </c>
    </row>
    <row r="118" spans="1:12" hidden="1" x14ac:dyDescent="0.45">
      <c r="A118" s="7">
        <v>45329</v>
      </c>
      <c r="B118" s="6">
        <v>2063</v>
      </c>
      <c r="C118" s="6">
        <v>1718.1</v>
      </c>
      <c r="D118" s="6">
        <v>1527</v>
      </c>
      <c r="H118" s="1">
        <v>44858</v>
      </c>
      <c r="I118">
        <v>2903.65</v>
      </c>
      <c r="J118" s="2" t="e">
        <f t="shared" si="3"/>
        <v>#N/A</v>
      </c>
      <c r="K118" s="2" t="e">
        <f t="shared" si="4"/>
        <v>#N/A</v>
      </c>
      <c r="L118" s="2" t="e">
        <f t="shared" si="5"/>
        <v>#N/A</v>
      </c>
    </row>
    <row r="119" spans="1:12" hidden="1" x14ac:dyDescent="0.45">
      <c r="A119" s="7">
        <v>45330</v>
      </c>
      <c r="B119" s="6">
        <v>2107.8000000000002</v>
      </c>
      <c r="C119" s="6">
        <v>1715</v>
      </c>
      <c r="D119" s="6">
        <v>1540</v>
      </c>
      <c r="H119" s="1">
        <v>44865</v>
      </c>
      <c r="I119">
        <v>2686.2</v>
      </c>
      <c r="J119" s="2" t="e">
        <f t="shared" si="3"/>
        <v>#N/A</v>
      </c>
      <c r="K119" s="2" t="e">
        <f t="shared" si="4"/>
        <v>#N/A</v>
      </c>
      <c r="L119" s="2" t="e">
        <f t="shared" si="5"/>
        <v>#N/A</v>
      </c>
    </row>
    <row r="120" spans="1:12" hidden="1" x14ac:dyDescent="0.45">
      <c r="A120" s="7">
        <v>45341</v>
      </c>
      <c r="B120" s="6">
        <v>2189.9</v>
      </c>
      <c r="C120" s="6">
        <v>1754</v>
      </c>
      <c r="D120" s="6">
        <v>1488.8</v>
      </c>
      <c r="H120" s="1">
        <v>44872</v>
      </c>
      <c r="I120">
        <v>2228.33</v>
      </c>
      <c r="J120" s="2" t="e">
        <f t="shared" si="3"/>
        <v>#N/A</v>
      </c>
      <c r="K120" s="2" t="e">
        <f t="shared" si="4"/>
        <v>#N/A</v>
      </c>
      <c r="L120" s="2" t="e">
        <f t="shared" si="5"/>
        <v>#N/A</v>
      </c>
    </row>
    <row r="121" spans="1:12" hidden="1" x14ac:dyDescent="0.45">
      <c r="A121" s="7">
        <v>45342</v>
      </c>
      <c r="B121" s="6">
        <v>2045.1</v>
      </c>
      <c r="C121" s="6">
        <v>1686.9</v>
      </c>
      <c r="D121" s="6">
        <v>1501.4</v>
      </c>
      <c r="H121" s="1">
        <v>44879</v>
      </c>
      <c r="I121">
        <v>1862.48</v>
      </c>
      <c r="J121" s="2" t="e">
        <f t="shared" si="3"/>
        <v>#N/A</v>
      </c>
      <c r="K121" s="2" t="e">
        <f t="shared" si="4"/>
        <v>#N/A</v>
      </c>
      <c r="L121" s="2" t="e">
        <f t="shared" si="5"/>
        <v>#N/A</v>
      </c>
    </row>
    <row r="122" spans="1:12" hidden="1" x14ac:dyDescent="0.45">
      <c r="A122" s="7">
        <v>45343</v>
      </c>
      <c r="B122" s="6">
        <v>2054.1</v>
      </c>
      <c r="C122" s="6">
        <v>1701</v>
      </c>
      <c r="D122" s="6">
        <v>1522</v>
      </c>
      <c r="H122" s="1">
        <v>44886</v>
      </c>
      <c r="I122">
        <v>1479.84</v>
      </c>
      <c r="J122" s="2" t="e">
        <f t="shared" si="3"/>
        <v>#N/A</v>
      </c>
      <c r="K122" s="2" t="e">
        <f t="shared" si="4"/>
        <v>#N/A</v>
      </c>
      <c r="L122" s="2" t="e">
        <f t="shared" si="5"/>
        <v>#N/A</v>
      </c>
    </row>
    <row r="123" spans="1:12" hidden="1" x14ac:dyDescent="0.45">
      <c r="A123" s="7">
        <v>45344</v>
      </c>
      <c r="B123" s="6">
        <v>2054.6999999999998</v>
      </c>
      <c r="C123" s="6">
        <v>1709.8</v>
      </c>
      <c r="D123" s="6">
        <v>1530.5</v>
      </c>
      <c r="H123" s="1">
        <v>44893</v>
      </c>
      <c r="I123">
        <v>1263.3900000000001</v>
      </c>
      <c r="J123" s="2" t="e">
        <f t="shared" si="3"/>
        <v>#N/A</v>
      </c>
      <c r="K123" s="2" t="e">
        <f t="shared" si="4"/>
        <v>#N/A</v>
      </c>
      <c r="L123" s="2" t="e">
        <f t="shared" si="5"/>
        <v>#N/A</v>
      </c>
    </row>
    <row r="124" spans="1:12" hidden="1" x14ac:dyDescent="0.45">
      <c r="A124" s="7">
        <v>45345</v>
      </c>
      <c r="B124" s="6">
        <v>2045</v>
      </c>
      <c r="C124" s="6">
        <v>1735.9</v>
      </c>
      <c r="D124" s="6">
        <v>1478.2</v>
      </c>
      <c r="H124" s="1">
        <v>44900</v>
      </c>
      <c r="I124">
        <v>1191.01</v>
      </c>
      <c r="J124" s="2" t="e">
        <f t="shared" si="3"/>
        <v>#N/A</v>
      </c>
      <c r="K124" s="2" t="e">
        <f t="shared" si="4"/>
        <v>#N/A</v>
      </c>
      <c r="L124" s="2" t="e">
        <f t="shared" si="5"/>
        <v>#N/A</v>
      </c>
    </row>
    <row r="125" spans="1:12" hidden="1" x14ac:dyDescent="0.45">
      <c r="A125" s="7">
        <v>45348</v>
      </c>
      <c r="B125" s="6">
        <v>1965.5</v>
      </c>
      <c r="C125" s="6">
        <v>1678.2</v>
      </c>
      <c r="D125" s="6">
        <v>1401</v>
      </c>
      <c r="H125" s="1">
        <v>44907</v>
      </c>
      <c r="I125">
        <v>1173.1500000000001</v>
      </c>
      <c r="J125" s="2" t="e">
        <f t="shared" si="3"/>
        <v>#N/A</v>
      </c>
      <c r="K125" s="2" t="e">
        <f t="shared" si="4"/>
        <v>#N/A</v>
      </c>
      <c r="L125" s="2" t="e">
        <f t="shared" si="5"/>
        <v>#N/A</v>
      </c>
    </row>
    <row r="126" spans="1:12" hidden="1" x14ac:dyDescent="0.45">
      <c r="A126" s="7">
        <v>45349</v>
      </c>
      <c r="B126" s="6">
        <v>1878</v>
      </c>
      <c r="C126" s="6">
        <v>1550.5</v>
      </c>
      <c r="D126" s="6">
        <v>1408.9</v>
      </c>
      <c r="H126" s="1">
        <v>44914</v>
      </c>
      <c r="I126">
        <v>1154.28</v>
      </c>
      <c r="J126" s="2" t="e">
        <f t="shared" si="3"/>
        <v>#N/A</v>
      </c>
      <c r="K126" s="2" t="e">
        <f t="shared" si="4"/>
        <v>#N/A</v>
      </c>
      <c r="L126" s="2" t="e">
        <f t="shared" si="5"/>
        <v>#N/A</v>
      </c>
    </row>
    <row r="127" spans="1:12" hidden="1" x14ac:dyDescent="0.45">
      <c r="A127" s="7">
        <v>45350</v>
      </c>
      <c r="B127" s="6">
        <v>1931.7</v>
      </c>
      <c r="C127" s="6">
        <v>1585.1</v>
      </c>
      <c r="D127" s="6">
        <v>1401.3</v>
      </c>
      <c r="H127" s="1">
        <v>44921</v>
      </c>
      <c r="I127">
        <v>1142.07</v>
      </c>
      <c r="J127" s="2" t="e">
        <f t="shared" si="3"/>
        <v>#N/A</v>
      </c>
      <c r="K127" s="2" t="e">
        <f t="shared" si="4"/>
        <v>#N/A</v>
      </c>
      <c r="L127" s="2" t="e">
        <f t="shared" si="5"/>
        <v>#N/A</v>
      </c>
    </row>
    <row r="128" spans="1:12" hidden="1" x14ac:dyDescent="0.45">
      <c r="A128" s="7">
        <v>45351</v>
      </c>
      <c r="B128" s="6">
        <v>1904</v>
      </c>
      <c r="C128" s="6">
        <v>1569.5</v>
      </c>
      <c r="D128" s="6">
        <v>1342</v>
      </c>
      <c r="H128" s="1">
        <v>44928</v>
      </c>
      <c r="I128">
        <v>1159.44</v>
      </c>
      <c r="J128" s="2" t="e">
        <f t="shared" si="3"/>
        <v>#N/A</v>
      </c>
      <c r="K128" s="2" t="e">
        <f t="shared" si="4"/>
        <v>#N/A</v>
      </c>
      <c r="L128" s="2" t="e">
        <f t="shared" si="5"/>
        <v>#N/A</v>
      </c>
    </row>
    <row r="129" spans="1:12" hidden="1" x14ac:dyDescent="0.45">
      <c r="A129" s="7">
        <v>45352</v>
      </c>
      <c r="B129" s="6">
        <v>1780</v>
      </c>
      <c r="C129" s="6">
        <v>1474</v>
      </c>
      <c r="D129" s="6">
        <v>1384</v>
      </c>
      <c r="H129" s="1">
        <v>44935</v>
      </c>
      <c r="I129">
        <v>1152.95</v>
      </c>
      <c r="J129" s="2" t="e">
        <f t="shared" si="3"/>
        <v>#N/A</v>
      </c>
      <c r="K129" s="2" t="e">
        <f t="shared" si="4"/>
        <v>#N/A</v>
      </c>
      <c r="L129" s="2" t="e">
        <f t="shared" si="5"/>
        <v>#N/A</v>
      </c>
    </row>
    <row r="130" spans="1:12" hidden="1" x14ac:dyDescent="0.45">
      <c r="A130" s="7">
        <v>45355</v>
      </c>
      <c r="B130" s="6">
        <v>1831</v>
      </c>
      <c r="C130" s="6">
        <v>1531.5</v>
      </c>
      <c r="D130" s="6">
        <v>1340</v>
      </c>
      <c r="H130" s="1">
        <v>44942</v>
      </c>
      <c r="I130">
        <v>1144.5899999999999</v>
      </c>
      <c r="J130" s="2" t="e">
        <f t="shared" ref="J130:J193" si="6">VLOOKUP(H130,$A$1:$D$2230,2,FALSE)</f>
        <v>#N/A</v>
      </c>
      <c r="K130" s="2" t="e">
        <f t="shared" ref="K130:K193" si="7">VLOOKUP(H130,$A$1:$D$2230,3,FALSE)</f>
        <v>#N/A</v>
      </c>
      <c r="L130" s="2" t="e">
        <f t="shared" ref="L130:L193" si="8">VLOOKUP(H130,$A$1:$D$2230,4,FALSE)</f>
        <v>#N/A</v>
      </c>
    </row>
    <row r="131" spans="1:12" hidden="1" x14ac:dyDescent="0.45">
      <c r="A131" s="7">
        <v>45356</v>
      </c>
      <c r="B131" s="6">
        <v>1802.5</v>
      </c>
      <c r="C131" s="6">
        <v>1475</v>
      </c>
      <c r="D131" s="6">
        <v>1342.9</v>
      </c>
      <c r="H131" s="1">
        <v>44949</v>
      </c>
      <c r="I131">
        <v>1126.75</v>
      </c>
      <c r="J131" s="2" t="e">
        <f t="shared" si="6"/>
        <v>#N/A</v>
      </c>
      <c r="K131" s="2" t="e">
        <f t="shared" si="7"/>
        <v>#N/A</v>
      </c>
      <c r="L131" s="2" t="e">
        <f t="shared" si="8"/>
        <v>#N/A</v>
      </c>
    </row>
    <row r="132" spans="1:12" hidden="1" x14ac:dyDescent="0.45">
      <c r="A132" s="7">
        <v>45357</v>
      </c>
      <c r="B132" s="6">
        <v>1781.6</v>
      </c>
      <c r="C132" s="6">
        <v>1470</v>
      </c>
      <c r="D132" s="6">
        <v>1348</v>
      </c>
      <c r="H132" s="1">
        <v>44956</v>
      </c>
      <c r="I132">
        <v>1119.28</v>
      </c>
      <c r="J132" s="2" t="e">
        <f t="shared" si="6"/>
        <v>#N/A</v>
      </c>
      <c r="K132" s="2" t="e">
        <f t="shared" si="7"/>
        <v>#N/A</v>
      </c>
      <c r="L132" s="2" t="e">
        <f t="shared" si="8"/>
        <v>#N/A</v>
      </c>
    </row>
    <row r="133" spans="1:12" hidden="1" x14ac:dyDescent="0.45">
      <c r="A133" s="7">
        <v>45358</v>
      </c>
      <c r="B133" s="6">
        <v>1794.3</v>
      </c>
      <c r="C133" s="6">
        <v>1486</v>
      </c>
      <c r="D133" s="6">
        <v>1363.1</v>
      </c>
      <c r="H133" s="1">
        <v>44963</v>
      </c>
      <c r="I133">
        <v>1069.73</v>
      </c>
      <c r="J133" s="2" t="e">
        <f t="shared" si="6"/>
        <v>#N/A</v>
      </c>
      <c r="K133" s="2" t="e">
        <f t="shared" si="7"/>
        <v>#N/A</v>
      </c>
      <c r="L133" s="2" t="e">
        <f t="shared" si="8"/>
        <v>#N/A</v>
      </c>
    </row>
    <row r="134" spans="1:12" hidden="1" x14ac:dyDescent="0.45">
      <c r="A134" s="7">
        <v>45359</v>
      </c>
      <c r="B134" s="6">
        <v>1824</v>
      </c>
      <c r="C134" s="6">
        <v>1490</v>
      </c>
      <c r="D134" s="6">
        <v>1352.3</v>
      </c>
      <c r="H134" s="1">
        <v>44970</v>
      </c>
      <c r="I134">
        <v>1030.9000000000001</v>
      </c>
      <c r="J134" s="2" t="e">
        <f t="shared" si="6"/>
        <v>#N/A</v>
      </c>
      <c r="K134" s="2" t="e">
        <f t="shared" si="7"/>
        <v>#N/A</v>
      </c>
      <c r="L134" s="2" t="e">
        <f t="shared" si="8"/>
        <v>#N/A</v>
      </c>
    </row>
    <row r="135" spans="1:12" hidden="1" x14ac:dyDescent="0.45">
      <c r="A135" s="7">
        <v>45362</v>
      </c>
      <c r="B135" s="6">
        <v>1815</v>
      </c>
      <c r="C135" s="6">
        <v>1484.9</v>
      </c>
      <c r="D135" s="6">
        <v>1348</v>
      </c>
      <c r="H135" s="1">
        <v>44977</v>
      </c>
      <c r="I135">
        <v>1007.35</v>
      </c>
      <c r="J135" s="2" t="e">
        <f t="shared" si="6"/>
        <v>#N/A</v>
      </c>
      <c r="K135" s="2" t="e">
        <f t="shared" si="7"/>
        <v>#N/A</v>
      </c>
      <c r="L135" s="2" t="e">
        <f t="shared" si="8"/>
        <v>#N/A</v>
      </c>
    </row>
    <row r="136" spans="1:12" hidden="1" x14ac:dyDescent="0.45">
      <c r="A136" s="7">
        <v>45363</v>
      </c>
      <c r="B136" s="6">
        <v>1803.5</v>
      </c>
      <c r="C136" s="6">
        <v>1478.6</v>
      </c>
      <c r="D136" s="6">
        <v>1334.7</v>
      </c>
      <c r="H136" s="1">
        <v>44984</v>
      </c>
      <c r="I136">
        <v>967.87</v>
      </c>
      <c r="J136" s="2" t="e">
        <f t="shared" si="6"/>
        <v>#N/A</v>
      </c>
      <c r="K136" s="2" t="e">
        <f t="shared" si="7"/>
        <v>#N/A</v>
      </c>
      <c r="L136" s="2" t="e">
        <f t="shared" si="8"/>
        <v>#N/A</v>
      </c>
    </row>
    <row r="137" spans="1:12" hidden="1" x14ac:dyDescent="0.45">
      <c r="A137" s="7">
        <v>45364</v>
      </c>
      <c r="B137" s="6">
        <v>1794.9</v>
      </c>
      <c r="C137" s="6">
        <v>1455</v>
      </c>
      <c r="D137" s="6">
        <v>1335</v>
      </c>
      <c r="H137" s="1">
        <v>44991</v>
      </c>
      <c r="I137">
        <v>954.48</v>
      </c>
      <c r="J137" s="2" t="e">
        <f t="shared" si="6"/>
        <v>#N/A</v>
      </c>
      <c r="K137" s="2" t="e">
        <f t="shared" si="7"/>
        <v>#N/A</v>
      </c>
      <c r="L137" s="2" t="e">
        <f t="shared" si="8"/>
        <v>#N/A</v>
      </c>
    </row>
    <row r="138" spans="1:12" hidden="1" x14ac:dyDescent="0.45">
      <c r="A138" s="7">
        <v>45365</v>
      </c>
      <c r="B138" s="6">
        <v>1776</v>
      </c>
      <c r="C138" s="6">
        <v>1456</v>
      </c>
      <c r="D138" s="6">
        <v>1350</v>
      </c>
      <c r="H138" s="1">
        <v>44998</v>
      </c>
      <c r="I138">
        <v>930.74</v>
      </c>
      <c r="J138" s="2" t="e">
        <f t="shared" si="6"/>
        <v>#N/A</v>
      </c>
      <c r="K138" s="2" t="e">
        <f t="shared" si="7"/>
        <v>#N/A</v>
      </c>
      <c r="L138" s="2" t="e">
        <f t="shared" si="8"/>
        <v>#N/A</v>
      </c>
    </row>
    <row r="139" spans="1:12" hidden="1" x14ac:dyDescent="0.45">
      <c r="A139" s="7">
        <v>45366</v>
      </c>
      <c r="B139" s="6">
        <v>1797.2</v>
      </c>
      <c r="C139" s="6">
        <v>1481</v>
      </c>
      <c r="D139" s="6">
        <v>1383.2</v>
      </c>
      <c r="H139" s="1">
        <v>45005</v>
      </c>
      <c r="I139">
        <v>917.51</v>
      </c>
      <c r="J139" s="2" t="e">
        <f t="shared" si="6"/>
        <v>#N/A</v>
      </c>
      <c r="K139" s="2" t="e">
        <f t="shared" si="7"/>
        <v>#N/A</v>
      </c>
      <c r="L139" s="2" t="e">
        <f t="shared" si="8"/>
        <v>#N/A</v>
      </c>
    </row>
    <row r="140" spans="1:12" hidden="1" x14ac:dyDescent="0.45">
      <c r="A140" s="7">
        <v>45369</v>
      </c>
      <c r="B140" s="6">
        <v>1826.1</v>
      </c>
      <c r="C140" s="6">
        <v>1533</v>
      </c>
      <c r="D140" s="6">
        <v>1414.7</v>
      </c>
      <c r="H140" s="1">
        <v>45012</v>
      </c>
      <c r="I140">
        <v>945.84</v>
      </c>
      <c r="J140" s="2" t="e">
        <f t="shared" si="6"/>
        <v>#N/A</v>
      </c>
      <c r="K140" s="2" t="e">
        <f t="shared" si="7"/>
        <v>#N/A</v>
      </c>
      <c r="L140" s="2" t="e">
        <f t="shared" si="8"/>
        <v>#N/A</v>
      </c>
    </row>
    <row r="141" spans="1:12" hidden="1" x14ac:dyDescent="0.45">
      <c r="A141" s="7">
        <v>45370</v>
      </c>
      <c r="B141" s="6">
        <v>1918</v>
      </c>
      <c r="C141" s="6">
        <v>1568.2</v>
      </c>
      <c r="D141" s="6">
        <v>1410.1</v>
      </c>
      <c r="H141" s="1">
        <v>45019</v>
      </c>
      <c r="I141">
        <v>917.28</v>
      </c>
      <c r="J141" s="2" t="e">
        <f t="shared" si="6"/>
        <v>#N/A</v>
      </c>
      <c r="K141" s="2" t="e">
        <f t="shared" si="7"/>
        <v>#N/A</v>
      </c>
      <c r="L141" s="2" t="e">
        <f t="shared" si="8"/>
        <v>#N/A</v>
      </c>
    </row>
    <row r="142" spans="1:12" hidden="1" x14ac:dyDescent="0.45">
      <c r="A142" s="7">
        <v>45371</v>
      </c>
      <c r="B142" s="6">
        <v>1910.9</v>
      </c>
      <c r="C142" s="6">
        <v>1586.7</v>
      </c>
      <c r="D142" s="6">
        <v>1598</v>
      </c>
      <c r="H142" s="1">
        <v>45026</v>
      </c>
      <c r="I142">
        <v>916.24</v>
      </c>
      <c r="J142" s="2" t="e">
        <f t="shared" si="6"/>
        <v>#N/A</v>
      </c>
      <c r="K142" s="2" t="e">
        <f t="shared" si="7"/>
        <v>#N/A</v>
      </c>
      <c r="L142" s="2" t="e">
        <f t="shared" si="8"/>
        <v>#N/A</v>
      </c>
    </row>
    <row r="143" spans="1:12" hidden="1" x14ac:dyDescent="0.45">
      <c r="A143" s="7">
        <v>45372</v>
      </c>
      <c r="B143" s="6">
        <v>2096.3000000000002</v>
      </c>
      <c r="C143" s="6">
        <v>1827.4</v>
      </c>
      <c r="D143" s="6">
        <v>1549.9</v>
      </c>
      <c r="H143" s="1">
        <v>45033</v>
      </c>
      <c r="I143">
        <v>929.79</v>
      </c>
      <c r="J143" s="2" t="e">
        <f t="shared" si="6"/>
        <v>#N/A</v>
      </c>
      <c r="K143" s="2" t="e">
        <f t="shared" si="7"/>
        <v>#N/A</v>
      </c>
      <c r="L143" s="2" t="e">
        <f t="shared" si="8"/>
        <v>#N/A</v>
      </c>
    </row>
    <row r="144" spans="1:12" hidden="1" x14ac:dyDescent="0.45">
      <c r="A144" s="7">
        <v>45373</v>
      </c>
      <c r="B144" s="6">
        <v>2010.1</v>
      </c>
      <c r="C144" s="6">
        <v>1789.4</v>
      </c>
      <c r="D144" s="6">
        <v>1694</v>
      </c>
      <c r="H144" s="1">
        <v>45040</v>
      </c>
      <c r="I144">
        <v>942.71</v>
      </c>
      <c r="J144" s="2" t="e">
        <f t="shared" si="6"/>
        <v>#N/A</v>
      </c>
      <c r="K144" s="2" t="e">
        <f t="shared" si="7"/>
        <v>#N/A</v>
      </c>
      <c r="L144" s="2" t="e">
        <f t="shared" si="8"/>
        <v>#N/A</v>
      </c>
    </row>
    <row r="145" spans="1:12" hidden="1" x14ac:dyDescent="0.45">
      <c r="A145" s="7">
        <v>45376</v>
      </c>
      <c r="B145" s="6">
        <v>2094</v>
      </c>
      <c r="C145" s="6">
        <v>1922.9</v>
      </c>
      <c r="D145" s="6">
        <v>1570.2</v>
      </c>
      <c r="H145" s="1">
        <v>45047</v>
      </c>
      <c r="I145">
        <v>942.71</v>
      </c>
      <c r="J145" s="2" t="e">
        <f t="shared" si="6"/>
        <v>#N/A</v>
      </c>
      <c r="K145" s="2" t="e">
        <f t="shared" si="7"/>
        <v>#N/A</v>
      </c>
      <c r="L145" s="2" t="e">
        <f t="shared" si="8"/>
        <v>#N/A</v>
      </c>
    </row>
    <row r="146" spans="1:12" hidden="1" x14ac:dyDescent="0.45">
      <c r="A146" s="7">
        <v>45377</v>
      </c>
      <c r="B146" s="6">
        <v>2051.5</v>
      </c>
      <c r="C146" s="6">
        <v>1786.9</v>
      </c>
      <c r="D146" s="6">
        <v>1618.4</v>
      </c>
      <c r="H146" s="1">
        <v>45054</v>
      </c>
      <c r="I146">
        <v>930.18</v>
      </c>
      <c r="J146" s="2" t="e">
        <f t="shared" si="6"/>
        <v>#N/A</v>
      </c>
      <c r="K146" s="2" t="e">
        <f t="shared" si="7"/>
        <v>#N/A</v>
      </c>
      <c r="L146" s="2" t="e">
        <f t="shared" si="8"/>
        <v>#N/A</v>
      </c>
    </row>
    <row r="147" spans="1:12" hidden="1" x14ac:dyDescent="0.45">
      <c r="A147" s="7">
        <v>45378</v>
      </c>
      <c r="B147" s="6">
        <v>2098.5</v>
      </c>
      <c r="C147" s="6">
        <v>1846.8</v>
      </c>
      <c r="D147" s="6">
        <v>1605.7</v>
      </c>
      <c r="H147" s="1">
        <v>45061</v>
      </c>
      <c r="I147">
        <v>926.48</v>
      </c>
      <c r="J147" s="2" t="e">
        <f t="shared" si="6"/>
        <v>#N/A</v>
      </c>
      <c r="K147" s="2" t="e">
        <f t="shared" si="7"/>
        <v>#N/A</v>
      </c>
      <c r="L147" s="2" t="e">
        <f t="shared" si="8"/>
        <v>#N/A</v>
      </c>
    </row>
    <row r="148" spans="1:12" hidden="1" x14ac:dyDescent="0.45">
      <c r="A148" s="7">
        <v>45379</v>
      </c>
      <c r="B148" s="6">
        <v>2080</v>
      </c>
      <c r="C148" s="6">
        <v>1815</v>
      </c>
      <c r="D148" s="6">
        <v>1594.1</v>
      </c>
      <c r="H148" s="1">
        <v>45068</v>
      </c>
      <c r="I148">
        <v>931.67</v>
      </c>
      <c r="J148" s="2" t="e">
        <f t="shared" si="6"/>
        <v>#N/A</v>
      </c>
      <c r="K148" s="2" t="e">
        <f t="shared" si="7"/>
        <v>#N/A</v>
      </c>
      <c r="L148" s="2" t="e">
        <f t="shared" si="8"/>
        <v>#N/A</v>
      </c>
    </row>
    <row r="149" spans="1:12" hidden="1" x14ac:dyDescent="0.45">
      <c r="A149" s="7">
        <v>45380</v>
      </c>
      <c r="B149" s="6">
        <v>2125</v>
      </c>
      <c r="C149" s="6">
        <v>1833.6</v>
      </c>
      <c r="D149" s="6">
        <v>1636.2</v>
      </c>
      <c r="H149" s="1">
        <v>45075</v>
      </c>
      <c r="I149">
        <v>912.07</v>
      </c>
      <c r="J149" s="2" t="e">
        <f t="shared" si="6"/>
        <v>#N/A</v>
      </c>
      <c r="K149" s="2" t="e">
        <f t="shared" si="7"/>
        <v>#N/A</v>
      </c>
      <c r="L149" s="2" t="e">
        <f t="shared" si="8"/>
        <v>#N/A</v>
      </c>
    </row>
    <row r="150" spans="1:12" hidden="1" x14ac:dyDescent="0.45">
      <c r="A150" s="7">
        <v>45383</v>
      </c>
      <c r="B150" s="6">
        <v>2119.8000000000002</v>
      </c>
      <c r="C150" s="6">
        <v>1875.3</v>
      </c>
      <c r="D150" s="6">
        <v>1814.7</v>
      </c>
      <c r="H150" s="1">
        <v>45082</v>
      </c>
      <c r="I150">
        <v>902.92</v>
      </c>
      <c r="J150" s="2" t="e">
        <f t="shared" si="6"/>
        <v>#N/A</v>
      </c>
      <c r="K150" s="2" t="e">
        <f t="shared" si="7"/>
        <v>#N/A</v>
      </c>
      <c r="L150" s="2" t="e">
        <f t="shared" si="8"/>
        <v>#N/A</v>
      </c>
    </row>
    <row r="151" spans="1:12" hidden="1" x14ac:dyDescent="0.45">
      <c r="A151" s="7">
        <v>45384</v>
      </c>
      <c r="B151" s="6">
        <v>2185</v>
      </c>
      <c r="C151" s="6">
        <v>2042.5</v>
      </c>
      <c r="D151" s="6">
        <v>1879</v>
      </c>
      <c r="H151" s="1">
        <v>45089</v>
      </c>
      <c r="I151">
        <v>897.01</v>
      </c>
      <c r="J151" s="2" t="e">
        <f t="shared" si="6"/>
        <v>#N/A</v>
      </c>
      <c r="K151" s="2" t="e">
        <f t="shared" si="7"/>
        <v>#N/A</v>
      </c>
      <c r="L151" s="2" t="e">
        <f t="shared" si="8"/>
        <v>#N/A</v>
      </c>
    </row>
    <row r="152" spans="1:12" hidden="1" x14ac:dyDescent="0.45">
      <c r="A152" s="7">
        <v>45385</v>
      </c>
      <c r="B152" s="6">
        <v>2169.4</v>
      </c>
      <c r="C152" s="6">
        <v>2047.1</v>
      </c>
      <c r="D152" s="6">
        <v>1796.9</v>
      </c>
      <c r="H152" s="1">
        <v>45096</v>
      </c>
      <c r="I152">
        <v>857.01</v>
      </c>
      <c r="J152" s="2" t="e">
        <f t="shared" si="6"/>
        <v>#N/A</v>
      </c>
      <c r="K152" s="2" t="e">
        <f t="shared" si="7"/>
        <v>#N/A</v>
      </c>
      <c r="L152" s="2" t="e">
        <f t="shared" si="8"/>
        <v>#N/A</v>
      </c>
    </row>
    <row r="153" spans="1:12" hidden="1" x14ac:dyDescent="0.45">
      <c r="A153" s="7">
        <v>45390</v>
      </c>
      <c r="B153" s="6">
        <v>2120</v>
      </c>
      <c r="C153" s="6">
        <v>1952.6</v>
      </c>
      <c r="D153" s="6">
        <v>1832</v>
      </c>
      <c r="H153" s="1">
        <v>45103</v>
      </c>
      <c r="I153">
        <v>835.34</v>
      </c>
      <c r="J153" s="2" t="e">
        <f t="shared" si="6"/>
        <v>#N/A</v>
      </c>
      <c r="K153" s="2" t="e">
        <f t="shared" si="7"/>
        <v>#N/A</v>
      </c>
      <c r="L153" s="2" t="e">
        <f t="shared" si="8"/>
        <v>#N/A</v>
      </c>
    </row>
    <row r="154" spans="1:12" hidden="1" x14ac:dyDescent="0.45">
      <c r="A154" s="7">
        <v>45391</v>
      </c>
      <c r="B154" s="6">
        <v>2154.9</v>
      </c>
      <c r="C154" s="6">
        <v>1970.9</v>
      </c>
      <c r="D154" s="6">
        <v>1963</v>
      </c>
      <c r="H154" s="1">
        <v>45110</v>
      </c>
      <c r="I154">
        <v>816.07</v>
      </c>
      <c r="J154" s="2" t="e">
        <f t="shared" si="6"/>
        <v>#N/A</v>
      </c>
      <c r="K154" s="2" t="e">
        <f t="shared" si="7"/>
        <v>#N/A</v>
      </c>
      <c r="L154" s="2" t="e">
        <f t="shared" si="8"/>
        <v>#N/A</v>
      </c>
    </row>
    <row r="155" spans="1:12" hidden="1" x14ac:dyDescent="0.45">
      <c r="A155" s="7">
        <v>45392</v>
      </c>
      <c r="B155" s="6">
        <v>2212</v>
      </c>
      <c r="C155" s="6">
        <v>2081</v>
      </c>
      <c r="D155" s="6">
        <v>1892.3</v>
      </c>
      <c r="H155" s="1">
        <v>45117</v>
      </c>
      <c r="I155">
        <v>790.78</v>
      </c>
      <c r="J155" s="2" t="e">
        <f t="shared" si="6"/>
        <v>#N/A</v>
      </c>
      <c r="K155" s="2" t="e">
        <f t="shared" si="7"/>
        <v>#N/A</v>
      </c>
      <c r="L155" s="2" t="e">
        <f t="shared" si="8"/>
        <v>#N/A</v>
      </c>
    </row>
    <row r="156" spans="1:12" hidden="1" x14ac:dyDescent="0.45">
      <c r="A156" s="7">
        <v>45393</v>
      </c>
      <c r="B156" s="6">
        <v>2204.1</v>
      </c>
      <c r="C156" s="6">
        <v>2054.8000000000002</v>
      </c>
      <c r="D156" s="6">
        <v>2010</v>
      </c>
      <c r="H156" s="1">
        <v>45124</v>
      </c>
      <c r="I156">
        <v>760</v>
      </c>
      <c r="J156" s="2" t="e">
        <f t="shared" si="6"/>
        <v>#N/A</v>
      </c>
      <c r="K156" s="2" t="e">
        <f t="shared" si="7"/>
        <v>#N/A</v>
      </c>
      <c r="L156" s="2" t="e">
        <f t="shared" si="8"/>
        <v>#N/A</v>
      </c>
    </row>
    <row r="157" spans="1:12" hidden="1" x14ac:dyDescent="0.45">
      <c r="A157" s="7">
        <v>45394</v>
      </c>
      <c r="B157" s="6">
        <v>2250</v>
      </c>
      <c r="C157" s="6">
        <v>2192</v>
      </c>
      <c r="D157" s="6">
        <v>2128</v>
      </c>
      <c r="H157" s="1">
        <v>45131</v>
      </c>
      <c r="I157">
        <v>779.38</v>
      </c>
      <c r="J157" s="2" t="e">
        <f t="shared" si="6"/>
        <v>#N/A</v>
      </c>
      <c r="K157" s="2" t="e">
        <f t="shared" si="7"/>
        <v>#N/A</v>
      </c>
      <c r="L157" s="2" t="e">
        <f t="shared" si="8"/>
        <v>#N/A</v>
      </c>
    </row>
    <row r="158" spans="1:12" hidden="1" x14ac:dyDescent="0.45">
      <c r="A158" s="7">
        <v>45397</v>
      </c>
      <c r="B158" s="6">
        <v>2228</v>
      </c>
      <c r="C158" s="6">
        <v>2287</v>
      </c>
      <c r="D158" s="6">
        <v>2164.9</v>
      </c>
      <c r="H158" s="1">
        <v>45138</v>
      </c>
      <c r="I158">
        <v>782.81</v>
      </c>
      <c r="J158" s="2" t="e">
        <f t="shared" si="6"/>
        <v>#N/A</v>
      </c>
      <c r="K158" s="2" t="e">
        <f t="shared" si="7"/>
        <v>#N/A</v>
      </c>
      <c r="L158" s="2" t="e">
        <f t="shared" si="8"/>
        <v>#N/A</v>
      </c>
    </row>
    <row r="159" spans="1:12" hidden="1" x14ac:dyDescent="0.45">
      <c r="A159" s="7">
        <v>45398</v>
      </c>
      <c r="B159" s="6">
        <v>2172.9</v>
      </c>
      <c r="C159" s="6">
        <v>2276.1999999999998</v>
      </c>
      <c r="D159" s="6">
        <v>2218.1</v>
      </c>
      <c r="H159" s="1">
        <v>45145</v>
      </c>
      <c r="I159">
        <v>828.86</v>
      </c>
      <c r="J159" s="2" t="e">
        <f t="shared" si="6"/>
        <v>#N/A</v>
      </c>
      <c r="K159" s="2" t="e">
        <f t="shared" si="7"/>
        <v>#N/A</v>
      </c>
      <c r="L159" s="2" t="e">
        <f t="shared" si="8"/>
        <v>#N/A</v>
      </c>
    </row>
    <row r="160" spans="1:12" hidden="1" x14ac:dyDescent="0.45">
      <c r="A160" s="7">
        <v>45399</v>
      </c>
      <c r="B160" s="6">
        <v>2171</v>
      </c>
      <c r="C160" s="6">
        <v>2337.1</v>
      </c>
      <c r="D160" s="6">
        <v>2347.9</v>
      </c>
      <c r="H160" s="1">
        <v>45152</v>
      </c>
      <c r="I160">
        <v>1110.02</v>
      </c>
      <c r="J160" s="2" t="e">
        <f t="shared" si="6"/>
        <v>#N/A</v>
      </c>
      <c r="K160" s="2" t="e">
        <f t="shared" si="7"/>
        <v>#N/A</v>
      </c>
      <c r="L160" s="2" t="e">
        <f t="shared" si="8"/>
        <v>#N/A</v>
      </c>
    </row>
    <row r="161" spans="1:12" x14ac:dyDescent="0.45">
      <c r="A161" s="7">
        <v>45400</v>
      </c>
      <c r="B161" s="6">
        <v>2165.6</v>
      </c>
      <c r="C161" s="6">
        <v>2433</v>
      </c>
      <c r="D161" s="6">
        <v>2550.5</v>
      </c>
      <c r="H161" s="1">
        <v>45159</v>
      </c>
      <c r="I161">
        <v>1039.01</v>
      </c>
      <c r="J161" s="2">
        <f t="shared" si="6"/>
        <v>903.2</v>
      </c>
      <c r="K161" s="2">
        <f t="shared" si="7"/>
        <v>958.8</v>
      </c>
      <c r="L161" s="2">
        <f t="shared" si="8"/>
        <v>1017.3</v>
      </c>
    </row>
    <row r="162" spans="1:12" x14ac:dyDescent="0.45">
      <c r="A162" s="7">
        <v>45401</v>
      </c>
      <c r="B162" s="6">
        <v>2191</v>
      </c>
      <c r="C162" s="6">
        <v>2629.2</v>
      </c>
      <c r="D162" s="6">
        <v>2527</v>
      </c>
      <c r="H162" s="1">
        <v>45166</v>
      </c>
      <c r="I162">
        <v>974.78</v>
      </c>
      <c r="J162" s="2">
        <f t="shared" si="6"/>
        <v>847.9</v>
      </c>
      <c r="K162" s="2">
        <f t="shared" si="7"/>
        <v>915.6</v>
      </c>
      <c r="L162" s="2">
        <f t="shared" si="8"/>
        <v>983</v>
      </c>
    </row>
    <row r="163" spans="1:12" x14ac:dyDescent="0.45">
      <c r="A163" s="7">
        <v>45404</v>
      </c>
      <c r="B163" s="6">
        <v>2166.3000000000002</v>
      </c>
      <c r="C163" s="6">
        <v>2573.1</v>
      </c>
      <c r="D163" s="6">
        <v>2568.1</v>
      </c>
      <c r="H163" s="1">
        <v>45173</v>
      </c>
      <c r="I163">
        <v>896.92</v>
      </c>
      <c r="J163" s="2">
        <f t="shared" si="6"/>
        <v>877.8</v>
      </c>
      <c r="K163" s="2">
        <f t="shared" si="7"/>
        <v>938.7</v>
      </c>
      <c r="L163" s="2">
        <f t="shared" si="8"/>
        <v>995.9</v>
      </c>
    </row>
    <row r="164" spans="1:12" x14ac:dyDescent="0.45">
      <c r="A164" s="7">
        <v>45405</v>
      </c>
      <c r="B164" s="6">
        <v>2150.3000000000002</v>
      </c>
      <c r="C164" s="6">
        <v>2557</v>
      </c>
      <c r="D164" s="6">
        <v>2813.3</v>
      </c>
      <c r="H164" s="1">
        <v>45180</v>
      </c>
      <c r="I164">
        <v>827.37</v>
      </c>
      <c r="J164" s="2">
        <f t="shared" si="6"/>
        <v>905.3</v>
      </c>
      <c r="K164" s="2">
        <f t="shared" si="7"/>
        <v>973.8</v>
      </c>
      <c r="L164" s="2">
        <f t="shared" si="8"/>
        <v>1038.3</v>
      </c>
    </row>
    <row r="165" spans="1:12" x14ac:dyDescent="0.45">
      <c r="A165" s="7">
        <v>45406</v>
      </c>
      <c r="B165" s="6">
        <v>2160</v>
      </c>
      <c r="C165" s="6">
        <v>2681.6</v>
      </c>
      <c r="D165" s="6">
        <v>2940</v>
      </c>
      <c r="H165" s="1">
        <v>45187</v>
      </c>
      <c r="I165">
        <v>780.47</v>
      </c>
      <c r="J165" s="2">
        <f t="shared" si="6"/>
        <v>897.7</v>
      </c>
      <c r="K165" s="2">
        <f t="shared" si="7"/>
        <v>954.5</v>
      </c>
      <c r="L165" s="2">
        <f t="shared" si="8"/>
        <v>1009</v>
      </c>
    </row>
    <row r="166" spans="1:12" x14ac:dyDescent="0.45">
      <c r="A166" s="7">
        <v>45407</v>
      </c>
      <c r="B166" s="6">
        <v>2169.9</v>
      </c>
      <c r="C166" s="6">
        <v>2815</v>
      </c>
      <c r="D166" s="6">
        <v>2948</v>
      </c>
      <c r="H166" s="1">
        <v>45194</v>
      </c>
      <c r="I166">
        <v>704.62</v>
      </c>
      <c r="J166" s="2">
        <f t="shared" si="6"/>
        <v>834.1</v>
      </c>
      <c r="K166" s="2">
        <f t="shared" si="7"/>
        <v>895.8</v>
      </c>
      <c r="L166" s="2">
        <f t="shared" si="8"/>
        <v>958.6</v>
      </c>
    </row>
    <row r="167" spans="1:12" hidden="1" x14ac:dyDescent="0.45">
      <c r="A167" s="7">
        <v>45408</v>
      </c>
      <c r="B167" s="6">
        <v>2170</v>
      </c>
      <c r="C167" s="6">
        <v>2981.4</v>
      </c>
      <c r="D167" s="6">
        <v>2550</v>
      </c>
      <c r="H167" s="1">
        <v>45201</v>
      </c>
      <c r="I167">
        <v>646.87</v>
      </c>
      <c r="J167" s="2" t="e">
        <f t="shared" si="6"/>
        <v>#N/A</v>
      </c>
      <c r="K167" s="2" t="e">
        <f t="shared" si="7"/>
        <v>#N/A</v>
      </c>
      <c r="L167" s="2" t="e">
        <f t="shared" si="8"/>
        <v>#N/A</v>
      </c>
    </row>
    <row r="168" spans="1:12" x14ac:dyDescent="0.45">
      <c r="A168" s="7">
        <v>45411</v>
      </c>
      <c r="B168" s="6">
        <v>2170.1999999999998</v>
      </c>
      <c r="C168" s="6">
        <v>2784.3</v>
      </c>
      <c r="D168" s="6">
        <v>2781.1</v>
      </c>
      <c r="H168" s="1">
        <v>45208</v>
      </c>
      <c r="I168">
        <v>623.99</v>
      </c>
      <c r="J168" s="2">
        <f t="shared" si="6"/>
        <v>737</v>
      </c>
      <c r="K168" s="2">
        <f t="shared" si="7"/>
        <v>768.8</v>
      </c>
      <c r="L168" s="2">
        <f t="shared" si="8"/>
        <v>858.1</v>
      </c>
    </row>
    <row r="169" spans="1:12" x14ac:dyDescent="0.45">
      <c r="A169" s="7">
        <v>45412</v>
      </c>
      <c r="B169" s="6">
        <v>1750</v>
      </c>
      <c r="C169" s="6">
        <v>2982.6</v>
      </c>
      <c r="D169" s="6">
        <v>2836</v>
      </c>
      <c r="H169" s="1">
        <v>45215</v>
      </c>
      <c r="I169">
        <v>600.4</v>
      </c>
      <c r="J169" s="2">
        <f t="shared" si="6"/>
        <v>781.7</v>
      </c>
      <c r="K169" s="2">
        <f t="shared" si="7"/>
        <v>804</v>
      </c>
      <c r="L169" s="2">
        <f t="shared" si="8"/>
        <v>880</v>
      </c>
    </row>
    <row r="170" spans="1:12" x14ac:dyDescent="0.45">
      <c r="A170" s="7">
        <v>45418</v>
      </c>
      <c r="B170" s="6">
        <v>1708</v>
      </c>
      <c r="C170" s="6">
        <v>3100.9</v>
      </c>
      <c r="D170" s="6">
        <v>2800</v>
      </c>
      <c r="H170" s="1">
        <v>45222</v>
      </c>
      <c r="I170">
        <v>597.16999999999996</v>
      </c>
      <c r="J170" s="2">
        <f t="shared" si="6"/>
        <v>757.8</v>
      </c>
      <c r="K170" s="2">
        <f t="shared" si="7"/>
        <v>786.6</v>
      </c>
      <c r="L170" s="2">
        <f t="shared" si="8"/>
        <v>865.8</v>
      </c>
    </row>
    <row r="171" spans="1:12" x14ac:dyDescent="0.45">
      <c r="A171" s="7">
        <v>45419</v>
      </c>
      <c r="B171" s="6">
        <v>1760</v>
      </c>
      <c r="C171" s="6">
        <v>3098.9</v>
      </c>
      <c r="D171" s="6">
        <v>2864.9</v>
      </c>
      <c r="H171" s="1">
        <v>45229</v>
      </c>
      <c r="I171">
        <v>607.04999999999995</v>
      </c>
      <c r="J171" s="2">
        <f t="shared" si="6"/>
        <v>794</v>
      </c>
      <c r="K171" s="2">
        <f t="shared" si="7"/>
        <v>817.3</v>
      </c>
      <c r="L171" s="2">
        <f t="shared" si="8"/>
        <v>896.5</v>
      </c>
    </row>
    <row r="172" spans="1:12" x14ac:dyDescent="0.45">
      <c r="A172" s="7">
        <v>45420</v>
      </c>
      <c r="B172" s="6">
        <v>1767.3</v>
      </c>
      <c r="C172" s="6">
        <v>3195</v>
      </c>
      <c r="D172" s="6">
        <v>3162.6</v>
      </c>
      <c r="H172" s="1">
        <v>45236</v>
      </c>
      <c r="I172">
        <v>653.73</v>
      </c>
      <c r="J172" s="2">
        <f t="shared" si="6"/>
        <v>763.4</v>
      </c>
      <c r="K172" s="2">
        <f t="shared" si="7"/>
        <v>788.2</v>
      </c>
      <c r="L172" s="2">
        <f t="shared" si="8"/>
        <v>869.4</v>
      </c>
    </row>
    <row r="173" spans="1:12" x14ac:dyDescent="0.45">
      <c r="A173" s="7">
        <v>45421</v>
      </c>
      <c r="B173" s="6">
        <v>1848</v>
      </c>
      <c r="C173" s="6">
        <v>3486.2</v>
      </c>
      <c r="D173" s="6">
        <v>3499.8</v>
      </c>
      <c r="H173" s="1">
        <v>45243</v>
      </c>
      <c r="I173">
        <v>858.18</v>
      </c>
      <c r="J173" s="2">
        <f t="shared" si="6"/>
        <v>737.3</v>
      </c>
      <c r="K173" s="2">
        <f t="shared" si="7"/>
        <v>765.5</v>
      </c>
      <c r="L173" s="2">
        <f t="shared" si="8"/>
        <v>852.9</v>
      </c>
    </row>
    <row r="174" spans="1:12" x14ac:dyDescent="0.45">
      <c r="A174" s="7">
        <v>45422</v>
      </c>
      <c r="B174" s="6">
        <v>1957</v>
      </c>
      <c r="C174" s="6">
        <v>3576</v>
      </c>
      <c r="D174" s="6">
        <v>3932.6</v>
      </c>
      <c r="H174" s="1">
        <v>45250</v>
      </c>
      <c r="I174">
        <v>789.28</v>
      </c>
      <c r="J174" s="2">
        <f t="shared" si="6"/>
        <v>758.9</v>
      </c>
      <c r="K174" s="2">
        <f t="shared" si="7"/>
        <v>781.5</v>
      </c>
      <c r="L174" s="2">
        <f t="shared" si="8"/>
        <v>877.2</v>
      </c>
    </row>
    <row r="175" spans="1:12" x14ac:dyDescent="0.45">
      <c r="A175" s="7">
        <v>45425</v>
      </c>
      <c r="B175" s="6">
        <v>2232.8000000000002</v>
      </c>
      <c r="C175" s="6">
        <v>4008.9</v>
      </c>
      <c r="D175" s="6">
        <v>3795.7</v>
      </c>
      <c r="H175" s="1">
        <v>45257</v>
      </c>
      <c r="I175">
        <v>754.34</v>
      </c>
      <c r="J175" s="2">
        <f t="shared" si="6"/>
        <v>767</v>
      </c>
      <c r="K175" s="2">
        <f t="shared" si="7"/>
        <v>794.4</v>
      </c>
      <c r="L175" s="2">
        <f t="shared" si="8"/>
        <v>889.6</v>
      </c>
    </row>
    <row r="176" spans="1:12" x14ac:dyDescent="0.45">
      <c r="A176" s="7">
        <v>45426</v>
      </c>
      <c r="B176" s="6">
        <v>2028</v>
      </c>
      <c r="C176" s="6">
        <v>3728.2</v>
      </c>
      <c r="D176" s="6">
        <v>4033.5</v>
      </c>
      <c r="H176" s="1">
        <v>45264</v>
      </c>
      <c r="I176">
        <v>752.7</v>
      </c>
      <c r="J176" s="2">
        <f t="shared" si="6"/>
        <v>824.4</v>
      </c>
      <c r="K176" s="2">
        <f t="shared" si="7"/>
        <v>925.9</v>
      </c>
      <c r="L176" s="2">
        <f t="shared" si="8"/>
        <v>1019.6</v>
      </c>
    </row>
    <row r="177" spans="1:12" x14ac:dyDescent="0.45">
      <c r="A177" s="7">
        <v>45427</v>
      </c>
      <c r="B177" s="6">
        <v>2083.1</v>
      </c>
      <c r="C177" s="6">
        <v>3866.1</v>
      </c>
      <c r="D177" s="6">
        <v>3931</v>
      </c>
      <c r="H177" s="1">
        <v>45271</v>
      </c>
      <c r="I177">
        <v>939.57</v>
      </c>
      <c r="J177" s="2">
        <f t="shared" si="6"/>
        <v>900.4</v>
      </c>
      <c r="K177" s="2">
        <f t="shared" si="7"/>
        <v>987.3</v>
      </c>
      <c r="L177" s="2">
        <f t="shared" si="8"/>
        <v>1048.3</v>
      </c>
    </row>
    <row r="178" spans="1:12" x14ac:dyDescent="0.45">
      <c r="A178" s="7">
        <v>45428</v>
      </c>
      <c r="B178" s="6">
        <v>1986.7</v>
      </c>
      <c r="C178" s="6">
        <v>3833</v>
      </c>
      <c r="D178" s="6">
        <v>4003.5</v>
      </c>
      <c r="H178" s="1">
        <v>45278</v>
      </c>
      <c r="I178">
        <v>990.38</v>
      </c>
      <c r="J178" s="2">
        <f t="shared" si="6"/>
        <v>979.7</v>
      </c>
      <c r="K178" s="2">
        <f t="shared" si="7"/>
        <v>1060.8</v>
      </c>
      <c r="L178" s="2">
        <f t="shared" si="8"/>
        <v>1133.3</v>
      </c>
    </row>
    <row r="179" spans="1:12" x14ac:dyDescent="0.45">
      <c r="A179" s="7">
        <v>45429</v>
      </c>
      <c r="B179" s="6">
        <v>1963.5</v>
      </c>
      <c r="C179" s="6">
        <v>3913.6</v>
      </c>
      <c r="D179" s="6">
        <v>4191.5</v>
      </c>
      <c r="H179" s="1">
        <v>45285</v>
      </c>
      <c r="I179">
        <v>1204.81</v>
      </c>
      <c r="J179" s="2">
        <f t="shared" si="6"/>
        <v>1330</v>
      </c>
      <c r="K179" s="2">
        <f t="shared" si="7"/>
        <v>1115.0999999999999</v>
      </c>
      <c r="L179" s="2">
        <f t="shared" si="8"/>
        <v>1026.5999999999999</v>
      </c>
    </row>
    <row r="180" spans="1:12" hidden="1" x14ac:dyDescent="0.45">
      <c r="A180" s="7">
        <v>45432</v>
      </c>
      <c r="B180" s="6">
        <v>1933</v>
      </c>
      <c r="C180" s="6">
        <v>3976</v>
      </c>
      <c r="D180" s="6">
        <v>4288.8999999999996</v>
      </c>
      <c r="H180" s="1">
        <v>45292</v>
      </c>
      <c r="I180">
        <v>1228.1600000000001</v>
      </c>
      <c r="J180" s="2" t="e">
        <f t="shared" si="6"/>
        <v>#N/A</v>
      </c>
      <c r="K180" s="2" t="e">
        <f t="shared" si="7"/>
        <v>#N/A</v>
      </c>
      <c r="L180" s="2" t="e">
        <f t="shared" si="8"/>
        <v>#N/A</v>
      </c>
    </row>
    <row r="181" spans="1:12" x14ac:dyDescent="0.45">
      <c r="A181" s="7">
        <v>45433</v>
      </c>
      <c r="B181" s="6">
        <v>2028.3</v>
      </c>
      <c r="C181" s="6">
        <v>3993.2</v>
      </c>
      <c r="D181" s="6">
        <v>4145</v>
      </c>
      <c r="H181" s="1">
        <v>45299</v>
      </c>
      <c r="I181">
        <v>2098.6</v>
      </c>
      <c r="J181" s="2">
        <f t="shared" si="6"/>
        <v>2177.5</v>
      </c>
      <c r="K181" s="2">
        <f t="shared" si="7"/>
        <v>2000</v>
      </c>
      <c r="L181" s="2">
        <f t="shared" si="8"/>
        <v>1594.3</v>
      </c>
    </row>
    <row r="182" spans="1:12" x14ac:dyDescent="0.45">
      <c r="A182" s="7">
        <v>45434</v>
      </c>
      <c r="B182" s="6">
        <v>2038.5</v>
      </c>
      <c r="C182" s="6">
        <v>4021</v>
      </c>
      <c r="D182" s="6">
        <v>4128</v>
      </c>
      <c r="H182" s="1">
        <v>45306</v>
      </c>
      <c r="I182">
        <v>3140.7</v>
      </c>
      <c r="J182" s="2">
        <f t="shared" si="6"/>
        <v>2068.3000000000002</v>
      </c>
      <c r="K182" s="2">
        <f t="shared" si="7"/>
        <v>1871.8</v>
      </c>
      <c r="L182" s="2">
        <f t="shared" si="8"/>
        <v>1725</v>
      </c>
    </row>
    <row r="183" spans="1:12" x14ac:dyDescent="0.45">
      <c r="A183" s="7">
        <v>45435</v>
      </c>
      <c r="B183" s="6">
        <v>1990</v>
      </c>
      <c r="C183" s="6">
        <v>4061.5</v>
      </c>
      <c r="D183" s="6">
        <v>4229.3</v>
      </c>
      <c r="H183" s="1">
        <v>45313</v>
      </c>
      <c r="I183">
        <v>3509.06</v>
      </c>
      <c r="J183" s="2">
        <f t="shared" si="6"/>
        <v>1982.2</v>
      </c>
      <c r="K183" s="2">
        <f t="shared" si="7"/>
        <v>1765</v>
      </c>
      <c r="L183" s="2">
        <f t="shared" si="8"/>
        <v>1625</v>
      </c>
    </row>
    <row r="184" spans="1:12" x14ac:dyDescent="0.45">
      <c r="A184" s="7">
        <v>45436</v>
      </c>
      <c r="B184" s="6">
        <v>2009.9</v>
      </c>
      <c r="C184" s="6">
        <v>4153.2</v>
      </c>
      <c r="D184" s="6">
        <v>4313.1000000000004</v>
      </c>
      <c r="H184" s="1">
        <v>45320</v>
      </c>
      <c r="I184">
        <v>3496.05</v>
      </c>
      <c r="J184" s="2">
        <f t="shared" si="6"/>
        <v>1908</v>
      </c>
      <c r="K184" s="2">
        <f t="shared" si="7"/>
        <v>1658</v>
      </c>
      <c r="L184" s="2">
        <f t="shared" si="8"/>
        <v>1547.6</v>
      </c>
    </row>
    <row r="185" spans="1:12" x14ac:dyDescent="0.45">
      <c r="A185" s="7">
        <v>45439</v>
      </c>
      <c r="B185" s="6">
        <v>1970.4</v>
      </c>
      <c r="C185" s="6">
        <v>4209</v>
      </c>
      <c r="D185" s="6">
        <v>4193.3999999999996</v>
      </c>
      <c r="H185" s="1">
        <v>45327</v>
      </c>
      <c r="I185">
        <v>3472.03</v>
      </c>
      <c r="J185" s="2">
        <f t="shared" si="6"/>
        <v>1769.6</v>
      </c>
      <c r="K185" s="2">
        <f t="shared" si="7"/>
        <v>1526.4</v>
      </c>
      <c r="L185" s="2">
        <f t="shared" si="8"/>
        <v>1420</v>
      </c>
    </row>
    <row r="186" spans="1:12" hidden="1" x14ac:dyDescent="0.45">
      <c r="A186" s="7">
        <v>45440</v>
      </c>
      <c r="B186" s="6">
        <v>1885</v>
      </c>
      <c r="C186" s="6">
        <v>4145.2</v>
      </c>
      <c r="D186" s="6">
        <v>4260</v>
      </c>
      <c r="H186" s="1">
        <v>45334</v>
      </c>
      <c r="I186">
        <v>3363.34</v>
      </c>
      <c r="J186" s="2" t="e">
        <f t="shared" si="6"/>
        <v>#N/A</v>
      </c>
      <c r="K186" s="2" t="e">
        <f t="shared" si="7"/>
        <v>#N/A</v>
      </c>
      <c r="L186" s="2" t="e">
        <f t="shared" si="8"/>
        <v>#N/A</v>
      </c>
    </row>
    <row r="187" spans="1:12" x14ac:dyDescent="0.45">
      <c r="A187" s="7">
        <v>45441</v>
      </c>
      <c r="B187" s="6">
        <v>1779.9</v>
      </c>
      <c r="C187" s="6">
        <v>4208</v>
      </c>
      <c r="D187" s="6">
        <v>4138</v>
      </c>
      <c r="H187" s="1">
        <v>45341</v>
      </c>
      <c r="I187">
        <v>3246.51</v>
      </c>
      <c r="J187" s="2">
        <f t="shared" si="6"/>
        <v>2189.9</v>
      </c>
      <c r="K187" s="2">
        <f t="shared" si="7"/>
        <v>1754</v>
      </c>
      <c r="L187" s="2">
        <f t="shared" si="8"/>
        <v>1488.8</v>
      </c>
    </row>
    <row r="188" spans="1:12" x14ac:dyDescent="0.45">
      <c r="A188" s="7">
        <v>45442</v>
      </c>
      <c r="B188" s="6">
        <v>1719.4</v>
      </c>
      <c r="C188" s="6">
        <v>4172</v>
      </c>
      <c r="D188" s="6">
        <v>4297.5</v>
      </c>
      <c r="H188" s="1">
        <v>45348</v>
      </c>
      <c r="I188">
        <v>2936.57</v>
      </c>
      <c r="J188" s="2">
        <f t="shared" si="6"/>
        <v>1965.5</v>
      </c>
      <c r="K188" s="2">
        <f t="shared" si="7"/>
        <v>1678.2</v>
      </c>
      <c r="L188" s="2">
        <f t="shared" si="8"/>
        <v>1401</v>
      </c>
    </row>
    <row r="189" spans="1:12" x14ac:dyDescent="0.45">
      <c r="A189" s="7">
        <v>45443</v>
      </c>
      <c r="B189" s="6">
        <v>1887.6</v>
      </c>
      <c r="C189" s="6">
        <v>4220</v>
      </c>
      <c r="D189" s="6">
        <v>4188.6000000000004</v>
      </c>
      <c r="H189" s="1">
        <v>45355</v>
      </c>
      <c r="I189">
        <v>2849.62</v>
      </c>
      <c r="J189" s="2">
        <f t="shared" si="6"/>
        <v>1831</v>
      </c>
      <c r="K189" s="2">
        <f t="shared" si="7"/>
        <v>1531.5</v>
      </c>
      <c r="L189" s="2">
        <f t="shared" si="8"/>
        <v>1340</v>
      </c>
    </row>
    <row r="190" spans="1:12" x14ac:dyDescent="0.45">
      <c r="A190" s="7">
        <v>45446</v>
      </c>
      <c r="B190" s="6">
        <v>1850</v>
      </c>
      <c r="C190" s="6">
        <v>4187.8999999999996</v>
      </c>
      <c r="D190" s="6">
        <v>4614.8999999999996</v>
      </c>
      <c r="H190" s="1">
        <v>45362</v>
      </c>
      <c r="I190">
        <v>2533.6799999999998</v>
      </c>
      <c r="J190" s="2">
        <f t="shared" si="6"/>
        <v>1815</v>
      </c>
      <c r="K190" s="2">
        <f t="shared" si="7"/>
        <v>1484.9</v>
      </c>
      <c r="L190" s="2">
        <f t="shared" si="8"/>
        <v>1348</v>
      </c>
    </row>
    <row r="191" spans="1:12" x14ac:dyDescent="0.45">
      <c r="A191" s="7">
        <v>45447</v>
      </c>
      <c r="B191" s="6">
        <v>2078</v>
      </c>
      <c r="C191" s="6">
        <v>4368</v>
      </c>
      <c r="D191" s="6">
        <v>4480</v>
      </c>
      <c r="H191" s="1">
        <v>45369</v>
      </c>
      <c r="I191">
        <v>2437.19</v>
      </c>
      <c r="J191" s="2">
        <f t="shared" si="6"/>
        <v>1826.1</v>
      </c>
      <c r="K191" s="2">
        <f t="shared" si="7"/>
        <v>1533</v>
      </c>
      <c r="L191" s="2">
        <f t="shared" si="8"/>
        <v>1414.7</v>
      </c>
    </row>
    <row r="192" spans="1:12" x14ac:dyDescent="0.45">
      <c r="A192" s="7">
        <v>45448</v>
      </c>
      <c r="B192" s="6">
        <v>2016.8</v>
      </c>
      <c r="C192" s="6">
        <v>4374.3999999999996</v>
      </c>
      <c r="D192" s="6">
        <v>4592</v>
      </c>
      <c r="H192" s="1">
        <v>45376</v>
      </c>
      <c r="I192">
        <v>2153.34</v>
      </c>
      <c r="J192" s="2">
        <f t="shared" si="6"/>
        <v>2094</v>
      </c>
      <c r="K192" s="2">
        <f t="shared" si="7"/>
        <v>1922.9</v>
      </c>
      <c r="L192" s="2">
        <f t="shared" si="8"/>
        <v>1570.2</v>
      </c>
    </row>
    <row r="193" spans="1:16" x14ac:dyDescent="0.45">
      <c r="A193" s="7">
        <v>45449</v>
      </c>
      <c r="B193" s="6">
        <v>2259</v>
      </c>
      <c r="C193" s="6">
        <v>4376</v>
      </c>
      <c r="D193" s="6">
        <v>4728.2</v>
      </c>
      <c r="H193" s="1">
        <v>45383</v>
      </c>
      <c r="I193">
        <v>2174.19</v>
      </c>
      <c r="J193" s="2">
        <f t="shared" si="6"/>
        <v>2119.8000000000002</v>
      </c>
      <c r="K193" s="2">
        <f t="shared" si="7"/>
        <v>1875.3</v>
      </c>
      <c r="L193" s="2">
        <f t="shared" si="8"/>
        <v>1814.7</v>
      </c>
    </row>
    <row r="194" spans="1:16" x14ac:dyDescent="0.45">
      <c r="A194" s="7">
        <v>45450</v>
      </c>
      <c r="B194" s="6">
        <v>2403</v>
      </c>
      <c r="C194" s="6">
        <v>4388.8</v>
      </c>
      <c r="D194" s="6">
        <v>4419.5</v>
      </c>
      <c r="H194" s="1">
        <v>45390</v>
      </c>
      <c r="I194">
        <v>2172.14</v>
      </c>
      <c r="J194" s="2">
        <f t="shared" ref="J194:J206" si="9">VLOOKUP(H194,$A$1:$D$2230,2,FALSE)</f>
        <v>2120</v>
      </c>
      <c r="K194" s="2">
        <f t="shared" ref="K194:K205" si="10">VLOOKUP(H194,$A$1:$D$2230,3,FALSE)</f>
        <v>1952.6</v>
      </c>
      <c r="L194" s="2">
        <f t="shared" ref="L194:L206" si="11">VLOOKUP(H194,$A$1:$D$2230,4,FALSE)</f>
        <v>1832</v>
      </c>
    </row>
    <row r="195" spans="1:16" x14ac:dyDescent="0.45">
      <c r="A195" s="7">
        <v>45454</v>
      </c>
      <c r="B195" s="6">
        <v>2090</v>
      </c>
      <c r="C195" s="6">
        <v>4399</v>
      </c>
      <c r="D195" s="6">
        <v>4570.3</v>
      </c>
      <c r="H195" s="1">
        <v>45397</v>
      </c>
      <c r="I195">
        <v>2147.86</v>
      </c>
      <c r="J195" s="2">
        <f t="shared" si="9"/>
        <v>2228</v>
      </c>
      <c r="K195" s="2">
        <f t="shared" si="10"/>
        <v>2287</v>
      </c>
      <c r="L195" s="2">
        <f t="shared" si="11"/>
        <v>2164.9</v>
      </c>
    </row>
    <row r="196" spans="1:16" x14ac:dyDescent="0.45">
      <c r="A196" s="7">
        <v>45455</v>
      </c>
      <c r="B196" s="6">
        <v>2078.8000000000002</v>
      </c>
      <c r="C196" s="6">
        <v>4399</v>
      </c>
      <c r="D196" s="6">
        <v>4650.8999999999996</v>
      </c>
      <c r="H196" s="1">
        <v>45404</v>
      </c>
      <c r="I196">
        <v>2134.85</v>
      </c>
      <c r="J196" s="2">
        <f t="shared" si="9"/>
        <v>2166.3000000000002</v>
      </c>
      <c r="K196" s="2">
        <f t="shared" si="10"/>
        <v>2573.1</v>
      </c>
      <c r="L196" s="2">
        <f t="shared" si="11"/>
        <v>2568.1</v>
      </c>
      <c r="P196" s="8" t="s">
        <v>1</v>
      </c>
    </row>
    <row r="197" spans="1:16" x14ac:dyDescent="0.45">
      <c r="A197" s="7">
        <v>45456</v>
      </c>
      <c r="B197" s="6">
        <v>2188</v>
      </c>
      <c r="C197" s="6">
        <v>4395</v>
      </c>
      <c r="D197" s="6">
        <v>4744.8</v>
      </c>
      <c r="H197" s="1">
        <v>45411</v>
      </c>
      <c r="I197">
        <v>2175.94</v>
      </c>
      <c r="J197" s="2">
        <f t="shared" si="9"/>
        <v>2170.1999999999998</v>
      </c>
      <c r="K197" s="2">
        <f t="shared" si="10"/>
        <v>2784.3</v>
      </c>
      <c r="L197" s="2">
        <f t="shared" si="11"/>
        <v>2781.1</v>
      </c>
    </row>
    <row r="198" spans="1:16" x14ac:dyDescent="0.45">
      <c r="A198" s="7">
        <v>45457</v>
      </c>
      <c r="B198" s="6">
        <v>2327.9</v>
      </c>
      <c r="C198" s="6">
        <v>4409</v>
      </c>
      <c r="D198" s="6">
        <v>4834</v>
      </c>
      <c r="H198" s="1">
        <v>45418</v>
      </c>
      <c r="I198">
        <v>2208.83</v>
      </c>
      <c r="J198" s="2">
        <f t="shared" si="9"/>
        <v>1708</v>
      </c>
      <c r="K198" s="2">
        <f t="shared" si="10"/>
        <v>3100.9</v>
      </c>
      <c r="L198" s="2">
        <f t="shared" si="11"/>
        <v>2800</v>
      </c>
    </row>
    <row r="199" spans="1:16" x14ac:dyDescent="0.45">
      <c r="A199" s="7">
        <v>45460</v>
      </c>
      <c r="B199" s="6">
        <v>2397</v>
      </c>
      <c r="C199" s="6">
        <v>4439</v>
      </c>
      <c r="D199" s="6">
        <v>5028</v>
      </c>
      <c r="H199" s="1">
        <v>45425</v>
      </c>
      <c r="I199">
        <v>2512.14</v>
      </c>
      <c r="J199" s="2">
        <f t="shared" si="9"/>
        <v>2232.8000000000002</v>
      </c>
      <c r="K199" s="2">
        <f t="shared" si="10"/>
        <v>4008.9</v>
      </c>
      <c r="L199" s="2">
        <f t="shared" si="11"/>
        <v>3795.7</v>
      </c>
    </row>
    <row r="200" spans="1:16" x14ac:dyDescent="0.45">
      <c r="A200" s="7">
        <v>45461</v>
      </c>
      <c r="B200" s="6">
        <v>2435</v>
      </c>
      <c r="C200" s="6">
        <v>4616.8999999999996</v>
      </c>
      <c r="D200" s="6">
        <v>4917.3999999999996</v>
      </c>
      <c r="H200" s="1">
        <v>45432</v>
      </c>
      <c r="I200">
        <v>3070.53</v>
      </c>
      <c r="J200" s="2">
        <f t="shared" si="9"/>
        <v>1933</v>
      </c>
      <c r="K200" s="2">
        <f t="shared" si="10"/>
        <v>3976</v>
      </c>
      <c r="L200" s="2">
        <f t="shared" si="11"/>
        <v>4288.8999999999996</v>
      </c>
    </row>
    <row r="201" spans="1:16" x14ac:dyDescent="0.45">
      <c r="A201" s="7">
        <v>45462</v>
      </c>
      <c r="B201" s="6">
        <v>2223</v>
      </c>
      <c r="C201" s="6">
        <v>4620</v>
      </c>
      <c r="D201" s="6">
        <v>5297.9</v>
      </c>
      <c r="H201" s="1">
        <v>45439</v>
      </c>
      <c r="I201">
        <v>3368.61</v>
      </c>
      <c r="J201" s="2">
        <f t="shared" si="9"/>
        <v>1970.4</v>
      </c>
      <c r="K201" s="2">
        <f t="shared" si="10"/>
        <v>4209</v>
      </c>
      <c r="L201" s="2">
        <f t="shared" si="11"/>
        <v>4193.3999999999996</v>
      </c>
    </row>
    <row r="202" spans="1:16" x14ac:dyDescent="0.45">
      <c r="A202" s="7">
        <v>45463</v>
      </c>
      <c r="B202" s="6">
        <v>2457.5</v>
      </c>
      <c r="C202" s="6">
        <v>4639.8999999999996</v>
      </c>
      <c r="D202" s="6">
        <v>5289.8</v>
      </c>
      <c r="H202" s="1">
        <v>45446</v>
      </c>
      <c r="I202">
        <v>3798.68</v>
      </c>
      <c r="J202" s="2">
        <f t="shared" si="9"/>
        <v>1850</v>
      </c>
      <c r="K202" s="2">
        <f t="shared" si="10"/>
        <v>4187.8999999999996</v>
      </c>
      <c r="L202" s="2">
        <f t="shared" si="11"/>
        <v>4614.8999999999996</v>
      </c>
    </row>
    <row r="203" spans="1:16" hidden="1" x14ac:dyDescent="0.45">
      <c r="A203" s="7">
        <v>45464</v>
      </c>
      <c r="B203" s="6">
        <v>2320</v>
      </c>
      <c r="C203" s="6">
        <v>4643.6000000000004</v>
      </c>
      <c r="D203" s="6">
        <v>5399</v>
      </c>
      <c r="H203" s="1">
        <v>45453</v>
      </c>
      <c r="I203">
        <v>4229.83</v>
      </c>
      <c r="J203" s="2" t="e">
        <f t="shared" si="9"/>
        <v>#N/A</v>
      </c>
      <c r="K203" s="2" t="e">
        <f t="shared" si="10"/>
        <v>#N/A</v>
      </c>
      <c r="L203" s="2" t="e">
        <f t="shared" si="11"/>
        <v>#N/A</v>
      </c>
    </row>
    <row r="204" spans="1:16" x14ac:dyDescent="0.45">
      <c r="A204" s="7">
        <v>45467</v>
      </c>
      <c r="B204" s="6">
        <v>2439.1</v>
      </c>
      <c r="C204" s="4">
        <v>4633</v>
      </c>
      <c r="D204" s="6">
        <v>5294.9</v>
      </c>
      <c r="H204" s="1">
        <v>45460</v>
      </c>
      <c r="I204">
        <v>4688.53</v>
      </c>
      <c r="J204" s="2">
        <f t="shared" si="9"/>
        <v>2397</v>
      </c>
      <c r="K204" s="2">
        <f t="shared" si="10"/>
        <v>4439</v>
      </c>
      <c r="L204" s="2">
        <f t="shared" si="11"/>
        <v>5028</v>
      </c>
    </row>
    <row r="205" spans="1:16" x14ac:dyDescent="0.45">
      <c r="A205" s="7">
        <v>45468</v>
      </c>
      <c r="B205" s="6">
        <v>2616.1</v>
      </c>
      <c r="D205" s="6">
        <v>5149.2</v>
      </c>
      <c r="H205" s="1">
        <v>45467</v>
      </c>
      <c r="I205">
        <v>4765.87</v>
      </c>
      <c r="J205" s="2">
        <f t="shared" si="9"/>
        <v>2439.1</v>
      </c>
      <c r="K205" s="2">
        <f t="shared" si="10"/>
        <v>4633</v>
      </c>
      <c r="L205" s="2">
        <f t="shared" si="11"/>
        <v>5294.9</v>
      </c>
    </row>
    <row r="206" spans="1:16" x14ac:dyDescent="0.45">
      <c r="A206" s="7">
        <v>45469</v>
      </c>
      <c r="B206" s="6">
        <v>2609.6</v>
      </c>
      <c r="D206" s="6">
        <v>5197.8999999999996</v>
      </c>
      <c r="H206" s="1">
        <v>45474</v>
      </c>
      <c r="I206">
        <v>5353.02</v>
      </c>
      <c r="J206" s="2">
        <f t="shared" si="9"/>
        <v>3096.5</v>
      </c>
      <c r="L206" s="2">
        <f t="shared" si="11"/>
        <v>5575</v>
      </c>
    </row>
    <row r="207" spans="1:16" x14ac:dyDescent="0.45">
      <c r="A207" s="7">
        <v>45470</v>
      </c>
      <c r="B207" s="6">
        <v>2609.1</v>
      </c>
      <c r="D207" s="6">
        <v>5226</v>
      </c>
      <c r="H207" s="1"/>
    </row>
    <row r="208" spans="1:16" x14ac:dyDescent="0.45">
      <c r="A208" s="7">
        <v>45471</v>
      </c>
      <c r="B208" s="6">
        <v>2760.8</v>
      </c>
      <c r="D208" s="6">
        <v>5322</v>
      </c>
    </row>
    <row r="209" spans="1:4" x14ac:dyDescent="0.45">
      <c r="A209" s="7">
        <v>45474</v>
      </c>
      <c r="B209" s="6">
        <v>3096.5</v>
      </c>
      <c r="D209" s="6">
        <v>5575</v>
      </c>
    </row>
    <row r="210" spans="1:4" x14ac:dyDescent="0.45">
      <c r="A210" s="7">
        <v>45475</v>
      </c>
      <c r="B210" s="6">
        <v>3422.7</v>
      </c>
      <c r="D210" s="6">
        <v>5632.2</v>
      </c>
    </row>
    <row r="211" spans="1:4" x14ac:dyDescent="0.45">
      <c r="A211" s="7">
        <v>45476</v>
      </c>
      <c r="B211" s="6">
        <v>3412</v>
      </c>
      <c r="D211" s="6">
        <v>5788.8</v>
      </c>
    </row>
    <row r="212" spans="1:4" x14ac:dyDescent="0.45">
      <c r="A212" s="7">
        <v>45477</v>
      </c>
      <c r="B212" s="6">
        <v>3667</v>
      </c>
      <c r="D212" s="6">
        <v>5700.9</v>
      </c>
    </row>
    <row r="213" spans="1:4" x14ac:dyDescent="0.45">
      <c r="A213" s="7">
        <v>45478</v>
      </c>
      <c r="B213" s="6">
        <v>3280</v>
      </c>
      <c r="D213" s="6">
        <v>5430</v>
      </c>
    </row>
    <row r="214" spans="1:4" x14ac:dyDescent="0.45">
      <c r="A214" s="7">
        <v>45481</v>
      </c>
      <c r="B214" s="6">
        <v>2889.3</v>
      </c>
      <c r="D214" s="6">
        <v>5604.8</v>
      </c>
    </row>
    <row r="215" spans="1:4" x14ac:dyDescent="0.45">
      <c r="A215" s="7">
        <v>45482</v>
      </c>
      <c r="B215" s="6">
        <v>2650.9</v>
      </c>
      <c r="D215" s="6">
        <v>5745.3</v>
      </c>
    </row>
    <row r="216" spans="1:4" x14ac:dyDescent="0.45">
      <c r="A216" s="7">
        <v>45483</v>
      </c>
      <c r="B216" s="6">
        <v>2514.9</v>
      </c>
      <c r="D216" s="6">
        <v>5488</v>
      </c>
    </row>
    <row r="217" spans="1:4" x14ac:dyDescent="0.45">
      <c r="A217" s="7">
        <v>45484</v>
      </c>
      <c r="B217" s="6">
        <v>2209.6</v>
      </c>
      <c r="D217" s="6">
        <v>5499.9</v>
      </c>
    </row>
    <row r="218" spans="1:4" x14ac:dyDescent="0.45">
      <c r="A218" s="7">
        <v>45485</v>
      </c>
      <c r="B218" s="6">
        <v>2027.8</v>
      </c>
      <c r="D218" s="6">
        <v>5600</v>
      </c>
    </row>
    <row r="219" spans="1:4" x14ac:dyDescent="0.45">
      <c r="A219" s="7">
        <v>45488</v>
      </c>
      <c r="B219" s="6">
        <v>2030</v>
      </c>
      <c r="D219" s="6">
        <v>5793</v>
      </c>
    </row>
    <row r="220" spans="1:4" x14ac:dyDescent="0.45">
      <c r="A220" s="7">
        <v>45489</v>
      </c>
      <c r="B220" s="6">
        <v>1845.6</v>
      </c>
      <c r="D220" s="6">
        <v>5700</v>
      </c>
    </row>
    <row r="221" spans="1:4" x14ac:dyDescent="0.45">
      <c r="A221" s="7">
        <v>45490</v>
      </c>
      <c r="B221" s="6">
        <v>1946</v>
      </c>
      <c r="D221" s="6">
        <v>5600</v>
      </c>
    </row>
    <row r="222" spans="1:4" x14ac:dyDescent="0.45">
      <c r="A222" s="7">
        <v>45491</v>
      </c>
      <c r="B222" s="6">
        <v>1943.8</v>
      </c>
      <c r="D222" s="4">
        <v>5520.2</v>
      </c>
    </row>
    <row r="223" spans="1:4" x14ac:dyDescent="0.45">
      <c r="A223" s="5">
        <v>45492</v>
      </c>
      <c r="B223" s="4">
        <v>1815</v>
      </c>
    </row>
  </sheetData>
  <autoFilter ref="H1:L206" xr:uid="{EEF0732E-C7F4-496E-8C5C-5AE5CAD3FC93}">
    <filterColumn colId="2">
      <filters>
        <filter val="1330"/>
        <filter val="1708"/>
        <filter val="1769.6"/>
        <filter val="1815"/>
        <filter val="1826.1"/>
        <filter val="1831"/>
        <filter val="1850"/>
        <filter val="1908"/>
        <filter val="1933"/>
        <filter val="1965.5"/>
        <filter val="1970.4"/>
        <filter val="1982.2"/>
        <filter val="2068.3"/>
        <filter val="2094"/>
        <filter val="2119.8"/>
        <filter val="2120"/>
        <filter val="2166.3"/>
        <filter val="2170.2"/>
        <filter val="2177.5"/>
        <filter val="2189.9"/>
        <filter val="2228"/>
        <filter val="2232.8"/>
        <filter val="2397"/>
        <filter val="2439.1"/>
        <filter val="3096.5"/>
        <filter val="737"/>
        <filter val="737.3"/>
        <filter val="757.8"/>
        <filter val="758.9"/>
        <filter val="763.4"/>
        <filter val="767"/>
        <filter val="781.7"/>
        <filter val="794"/>
        <filter val="824.4"/>
        <filter val="834.1"/>
        <filter val="847.9"/>
        <filter val="877.8"/>
        <filter val="897.7"/>
        <filter val="900.4"/>
        <filter val="903.2"/>
        <filter val="905.3"/>
        <filter val="979.7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儒飞 周</cp:lastModifiedBy>
  <dcterms:created xsi:type="dcterms:W3CDTF">2024-06-10T11:04:41Z</dcterms:created>
  <dcterms:modified xsi:type="dcterms:W3CDTF">2025-03-19T13:23:07Z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aa84c752</vt:lpwstr>
  </property>
</Properties>
</file>